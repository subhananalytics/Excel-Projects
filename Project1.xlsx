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50E680AC-C4D0-4885-B52A-B9ECBC27CC02}" xr6:coauthVersionLast="47" xr6:coauthVersionMax="47" xr10:uidLastSave="{00000000-0000-0000-0000-000000000000}"/>
  <bookViews>
    <workbookView xWindow="-120" yWindow="-120" windowWidth="19440" windowHeight="15000" xr2:uid="{CCC9ABA1-68C1-44FC-937D-74C9A1D489BA}"/>
  </bookViews>
  <sheets>
    <sheet name="Calculations" sheetId="2" r:id="rId1"/>
    <sheet name="Dashboard" sheetId="6" r:id="rId2"/>
    <sheet name="Summary" sheetId="4" r:id="rId3"/>
    <sheet name="Sales_Data" sheetId="1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4" l="1"/>
  <c r="C4" i="4"/>
  <c r="C3" i="4"/>
  <c r="C2" i="4"/>
  <c r="K7" i="1"/>
  <c r="K8" i="1"/>
  <c r="K9" i="1"/>
  <c r="K10" i="1"/>
  <c r="K11" i="1"/>
  <c r="K12" i="1"/>
  <c r="K13" i="1"/>
  <c r="K14" i="1"/>
  <c r="K15" i="1"/>
  <c r="K6" i="1"/>
</calcChain>
</file>

<file path=xl/sharedStrings.xml><?xml version="1.0" encoding="utf-8"?>
<sst xmlns="http://schemas.openxmlformats.org/spreadsheetml/2006/main" count="78" uniqueCount="40">
  <si>
    <t>Date</t>
  </si>
  <si>
    <t>Product</t>
  </si>
  <si>
    <t>Category</t>
  </si>
  <si>
    <t>Quantity</t>
  </si>
  <si>
    <t>Unit Price</t>
  </si>
  <si>
    <t>Salesperson</t>
  </si>
  <si>
    <t>T-Shirt</t>
  </si>
  <si>
    <t>Clothing</t>
  </si>
  <si>
    <t>Ali</t>
  </si>
  <si>
    <t>Jeans</t>
  </si>
  <si>
    <t>Ahmed</t>
  </si>
  <si>
    <t>Sneakers</t>
  </si>
  <si>
    <t>Footwear</t>
  </si>
  <si>
    <t>Hoodie</t>
  </si>
  <si>
    <t>Sara</t>
  </si>
  <si>
    <t>Sandals</t>
  </si>
  <si>
    <t>Invoice ID</t>
  </si>
  <si>
    <t>INV-001</t>
  </si>
  <si>
    <t>INV-002</t>
  </si>
  <si>
    <t>INV-003</t>
  </si>
  <si>
    <t>INV-004</t>
  </si>
  <si>
    <t>INV-005</t>
  </si>
  <si>
    <t>INV-006</t>
  </si>
  <si>
    <t>INV-007</t>
  </si>
  <si>
    <t>Jacket</t>
  </si>
  <si>
    <t>INV-008</t>
  </si>
  <si>
    <t>INV-009</t>
  </si>
  <si>
    <t>INV-010</t>
  </si>
  <si>
    <t>Total Sales</t>
  </si>
  <si>
    <t>Row Labels</t>
  </si>
  <si>
    <t>Grand Total</t>
  </si>
  <si>
    <t>Sum of Total Sales</t>
  </si>
  <si>
    <t>Total Revenue</t>
  </si>
  <si>
    <t>Total Units Sold</t>
  </si>
  <si>
    <t>Total Orders</t>
  </si>
  <si>
    <t>Average Order Value</t>
  </si>
  <si>
    <t>Sales by Product</t>
  </si>
  <si>
    <t>Sales by Date</t>
  </si>
  <si>
    <t>Sales by Category</t>
  </si>
  <si>
    <t>Sales by 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</si>
</sst>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168" fontId="0" fillId="0" borderId="0" xfId="0" applyNumberFormat="1"/>
    <xf numFmtId="0" fontId="0" fillId="0" borderId="1" xfId="0" applyBorder="1" applyAlignment="1">
      <alignment horizontal="left" vertical="center" wrapText="1"/>
    </xf>
    <xf numFmtId="15" fontId="0" fillId="0" borderId="2" xfId="0" applyNumberFormat="1" applyBorder="1" applyAlignment="1">
      <alignment horizontal="left" vertical="center" wrapText="1"/>
    </xf>
    <xf numFmtId="15" fontId="0" fillId="0" borderId="7" xfId="0" applyNumberForma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/>
    <xf numFmtId="0" fontId="0" fillId="0" borderId="3" xfId="0" applyBorder="1"/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0" fillId="0" borderId="0" xfId="0" pivotButton="1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1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6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38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color rgb="FF006100"/>
      </font>
      <fill>
        <patternFill>
          <bgColor rgb="FFC6EFCE"/>
        </patternFill>
      </fill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[Project1.xlsx]Calculations!PivotTable3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Calculations!$I$11:$I$16</c:f>
              <c:strCache>
                <c:ptCount val="5"/>
                <c:pt idx="0">
                  <c:v>T-Shirt</c:v>
                </c:pt>
                <c:pt idx="1">
                  <c:v>Sneakers</c:v>
                </c:pt>
                <c:pt idx="2">
                  <c:v>Jeans</c:v>
                </c:pt>
                <c:pt idx="3">
                  <c:v>Jacket</c:v>
                </c:pt>
                <c:pt idx="4">
                  <c:v>Hoodie</c:v>
                </c:pt>
              </c:strCache>
            </c:strRef>
          </c:cat>
          <c:val>
            <c:numRef>
              <c:f>Calculations!$J$11:$J$16</c:f>
              <c:numCache>
                <c:formatCode>_("$"* #,##0.00_);_("$"* \(#,##0.00\);_("$"* "-"??_);_(@_)</c:formatCode>
                <c:ptCount val="5"/>
                <c:pt idx="0">
                  <c:v>15600</c:v>
                </c:pt>
                <c:pt idx="1">
                  <c:v>20000</c:v>
                </c:pt>
                <c:pt idx="2">
                  <c:v>20000</c:v>
                </c:pt>
                <c:pt idx="3">
                  <c:v>11000</c:v>
                </c:pt>
                <c:pt idx="4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D-4FCC-A626-8D5173948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503824"/>
        <c:axId val="191518704"/>
      </c:barChart>
      <c:catAx>
        <c:axId val="19150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18704"/>
        <c:crosses val="autoZero"/>
        <c:auto val="1"/>
        <c:lblAlgn val="ctr"/>
        <c:lblOffset val="100"/>
        <c:noMultiLvlLbl val="0"/>
      </c:catAx>
      <c:valAx>
        <c:axId val="19151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0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[Project1.xlsx]Calculations!PivotTable4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Calculations!$M$10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48-4B61-99EA-A6ACD90402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48-4B61-99EA-A6ACD90402BB}"/>
              </c:ext>
            </c:extLst>
          </c:dPt>
          <c:cat>
            <c:strRef>
              <c:f>Calculations!$L$11:$L$13</c:f>
              <c:strCache>
                <c:ptCount val="2"/>
                <c:pt idx="0">
                  <c:v>Clothing</c:v>
                </c:pt>
                <c:pt idx="1">
                  <c:v>Footwear</c:v>
                </c:pt>
              </c:strCache>
            </c:strRef>
          </c:cat>
          <c:val>
            <c:numRef>
              <c:f>Calculations!$M$11:$M$13</c:f>
              <c:numCache>
                <c:formatCode>_("$"* #,##0.00_);_("$"* \(#,##0.00\);_("$"* "-"??_);_(@_)</c:formatCode>
                <c:ptCount val="2"/>
                <c:pt idx="0">
                  <c:v>58600</c:v>
                </c:pt>
                <c:pt idx="1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48-4B61-99EA-A6ACD9040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[Project1.xlsx]Calculations!PivotTable5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Calculations!$C$11:$C$14</c:f>
              <c:strCache>
                <c:ptCount val="3"/>
                <c:pt idx="0">
                  <c:v>Ahmed</c:v>
                </c:pt>
                <c:pt idx="1">
                  <c:v>Ali</c:v>
                </c:pt>
                <c:pt idx="2">
                  <c:v>Sara</c:v>
                </c:pt>
              </c:strCache>
            </c:strRef>
          </c:cat>
          <c:val>
            <c:numRef>
              <c:f>Calculations!$D$11:$D$14</c:f>
              <c:numCache>
                <c:formatCode>_("$"* #,##0.00_);_("$"* \(#,##0.00\);_("$"* "-"??_);_(@_)</c:formatCode>
                <c:ptCount val="3"/>
                <c:pt idx="0">
                  <c:v>30800</c:v>
                </c:pt>
                <c:pt idx="1">
                  <c:v>32200</c:v>
                </c:pt>
                <c:pt idx="2">
                  <c:v>33600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9-4B34-A3D3-815A9C104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300688"/>
        <c:axId val="197324208"/>
      </c:barChart>
      <c:catAx>
        <c:axId val="19730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24208"/>
        <c:crosses val="autoZero"/>
        <c:auto val="1"/>
        <c:lblAlgn val="ctr"/>
        <c:lblOffset val="100"/>
        <c:noMultiLvlLbl val="0"/>
      </c:catAx>
      <c:valAx>
        <c:axId val="19732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0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[Project1.xlsx]Calculations!PivotTable1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Calculations!$G$10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Calculations!$F$11:$F$20</c:f>
              <c:strCache>
                <c:ptCount val="9"/>
                <c:pt idx="0">
                  <c:v>1-Jan-25</c:v>
                </c:pt>
                <c:pt idx="1">
                  <c:v>2-Jan-25</c:v>
                </c:pt>
                <c:pt idx="2">
                  <c:v>3-Jan-25</c:v>
                </c:pt>
                <c:pt idx="3">
                  <c:v>4-Jan-25</c:v>
                </c:pt>
                <c:pt idx="4">
                  <c:v>5-Jan-25</c:v>
                </c:pt>
                <c:pt idx="5">
                  <c:v>6-Jan-25</c:v>
                </c:pt>
                <c:pt idx="6">
                  <c:v>7-Jan-25</c:v>
                </c:pt>
                <c:pt idx="7">
                  <c:v>8-Jan-25</c:v>
                </c:pt>
                <c:pt idx="8">
                  <c:v>9-Jan-25</c:v>
                </c:pt>
              </c:strCache>
            </c:strRef>
          </c:cat>
          <c:val>
            <c:numRef>
              <c:f>Calculations!$G$11:$G$20</c:f>
              <c:numCache>
                <c:formatCode>_("$"* #,##0.00_);_("$"* \(#,##0.00\);_("$"* "-"??_);_(@_)</c:formatCode>
                <c:ptCount val="9"/>
                <c:pt idx="0">
                  <c:v>13500</c:v>
                </c:pt>
                <c:pt idx="1">
                  <c:v>8000</c:v>
                </c:pt>
                <c:pt idx="2">
                  <c:v>12000</c:v>
                </c:pt>
                <c:pt idx="3">
                  <c:v>10800</c:v>
                </c:pt>
                <c:pt idx="4">
                  <c:v>9600</c:v>
                </c:pt>
                <c:pt idx="5">
                  <c:v>11000</c:v>
                </c:pt>
                <c:pt idx="6">
                  <c:v>12000</c:v>
                </c:pt>
                <c:pt idx="7">
                  <c:v>12500</c:v>
                </c:pt>
                <c:pt idx="8">
                  <c:v>7200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4-4877-A59C-8B0D11780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316048"/>
        <c:axId val="197298288"/>
      </c:lineChart>
      <c:catAx>
        <c:axId val="19731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98288"/>
        <c:crosses val="autoZero"/>
        <c:auto val="1"/>
        <c:lblAlgn val="ctr"/>
        <c:lblOffset val="100"/>
        <c:noMultiLvlLbl val="0"/>
      </c:catAx>
      <c:valAx>
        <c:axId val="1972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1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</xdr:row>
      <xdr:rowOff>76199</xdr:rowOff>
    </xdr:from>
    <xdr:to>
      <xdr:col>23</xdr:col>
      <xdr:colOff>220701</xdr:colOff>
      <xdr:row>44</xdr:row>
      <xdr:rowOff>11616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2663757-42A6-00AF-C214-501110CC043E}"/>
            </a:ext>
          </a:extLst>
        </xdr:cNvPr>
        <xdr:cNvSpPr/>
      </xdr:nvSpPr>
      <xdr:spPr>
        <a:xfrm>
          <a:off x="180976" y="262053"/>
          <a:ext cx="13932286" cy="792712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219074</xdr:colOff>
      <xdr:row>1</xdr:row>
      <xdr:rowOff>114300</xdr:rowOff>
    </xdr:from>
    <xdr:to>
      <xdr:col>6</xdr:col>
      <xdr:colOff>438149</xdr:colOff>
      <xdr:row>6</xdr:row>
      <xdr:rowOff>76200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2E2430E-99F9-BFA3-4721-03F9A511E20E}"/>
            </a:ext>
          </a:extLst>
        </xdr:cNvPr>
        <xdr:cNvSpPr/>
      </xdr:nvSpPr>
      <xdr:spPr>
        <a:xfrm>
          <a:off x="219074" y="304800"/>
          <a:ext cx="3876675" cy="914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/>
            <a:t>SALES</a:t>
          </a:r>
          <a:r>
            <a:rPr lang="en-US" sz="3200" b="1" baseline="0"/>
            <a:t> </a:t>
          </a:r>
          <a:r>
            <a:rPr lang="en-US" sz="3200" b="1"/>
            <a:t>DASHBOARD</a:t>
          </a:r>
        </a:p>
      </xdr:txBody>
    </xdr:sp>
    <xdr:clientData/>
  </xdr:twoCellAnchor>
  <xdr:twoCellAnchor>
    <xdr:from>
      <xdr:col>11</xdr:col>
      <xdr:colOff>223489</xdr:colOff>
      <xdr:row>7</xdr:row>
      <xdr:rowOff>32755</xdr:rowOff>
    </xdr:from>
    <xdr:to>
      <xdr:col>21</xdr:col>
      <xdr:colOff>166339</xdr:colOff>
      <xdr:row>21</xdr:row>
      <xdr:rowOff>108955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9BC02BF-923F-4D72-B4C8-8D8E36A42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92926</xdr:colOff>
      <xdr:row>23</xdr:row>
      <xdr:rowOff>24625</xdr:rowOff>
    </xdr:from>
    <xdr:to>
      <xdr:col>23</xdr:col>
      <xdr:colOff>151005</xdr:colOff>
      <xdr:row>37</xdr:row>
      <xdr:rowOff>96179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8BD2644-FF29-4539-AB66-D90F9154D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217680</xdr:colOff>
      <xdr:row>23</xdr:row>
      <xdr:rowOff>18121</xdr:rowOff>
    </xdr:from>
    <xdr:to>
      <xdr:col>17</xdr:col>
      <xdr:colOff>580792</xdr:colOff>
      <xdr:row>37</xdr:row>
      <xdr:rowOff>94321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933696B-5147-439F-9407-B8EF46ED7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232318</xdr:colOff>
      <xdr:row>7</xdr:row>
      <xdr:rowOff>24392</xdr:rowOff>
    </xdr:from>
    <xdr:to>
      <xdr:col>10</xdr:col>
      <xdr:colOff>522714</xdr:colOff>
      <xdr:row>21</xdr:row>
      <xdr:rowOff>100593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A11CCE2-FEED-414F-BD92-6DAE90179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CS" refreshedDate="46037.484851388886" createdVersion="8" refreshedVersion="8" minRefreshableVersion="3" recordCount="10" xr:uid="{F92E49AC-F31F-4AF8-85D2-D3FED254D0AC}">
  <cacheSource type="worksheet">
    <worksheetSource name="Table2"/>
  </cacheSource>
  <cacheFields count="8">
    <cacheField name="Date" numFmtId="15">
      <sharedItems containsSemiMixedTypes="0" containsNonDate="0" containsDate="1" containsString="0" minDate="2025-01-01T00:00:00" maxDate="2025-01-10T00:00:00" count="9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</sharedItems>
    </cacheField>
    <cacheField name="Invoice ID" numFmtId="0">
      <sharedItems/>
    </cacheField>
    <cacheField name="Product" numFmtId="0">
      <sharedItems count="6">
        <s v="T-Shirt"/>
        <s v="Jeans"/>
        <s v="Sneakers"/>
        <s v="Hoodie"/>
        <s v="Sandals"/>
        <s v="Jacket"/>
      </sharedItems>
    </cacheField>
    <cacheField name="Category" numFmtId="0">
      <sharedItems count="2">
        <s v="Clothing"/>
        <s v="Footwear"/>
      </sharedItems>
    </cacheField>
    <cacheField name="Quantity" numFmtId="0">
      <sharedItems containsSemiMixedTypes="0" containsString="0" containsNumber="1" containsInteger="1" minValue="2" maxValue="8"/>
    </cacheField>
    <cacheField name="Unit Price" numFmtId="0">
      <sharedItems containsSemiMixedTypes="0" containsString="0" containsNumber="1" containsInteger="1" minValue="1200" maxValue="5500"/>
    </cacheField>
    <cacheField name="Salesperson" numFmtId="0">
      <sharedItems count="3">
        <s v="Ali"/>
        <s v="Ahmed"/>
        <s v="Sara"/>
      </sharedItems>
    </cacheField>
    <cacheField name="Total Sales" numFmtId="0">
      <sharedItems containsSemiMixedTypes="0" containsString="0" containsNumber="1" containsInteger="1" minValue="6000" maxValue="1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INV-001"/>
    <x v="0"/>
    <x v="0"/>
    <n v="5"/>
    <n v="1200"/>
    <x v="0"/>
    <n v="6000"/>
  </r>
  <r>
    <x v="0"/>
    <s v="INV-002"/>
    <x v="1"/>
    <x v="0"/>
    <n v="3"/>
    <n v="2500"/>
    <x v="1"/>
    <n v="7500"/>
  </r>
  <r>
    <x v="1"/>
    <s v="INV-003"/>
    <x v="2"/>
    <x v="1"/>
    <n v="2"/>
    <n v="4000"/>
    <x v="0"/>
    <n v="8000"/>
  </r>
  <r>
    <x v="2"/>
    <s v="INV-004"/>
    <x v="3"/>
    <x v="0"/>
    <n v="4"/>
    <n v="3000"/>
    <x v="2"/>
    <n v="12000"/>
  </r>
  <r>
    <x v="3"/>
    <s v="INV-005"/>
    <x v="4"/>
    <x v="1"/>
    <n v="6"/>
    <n v="1800"/>
    <x v="1"/>
    <n v="10800"/>
  </r>
  <r>
    <x v="4"/>
    <s v="INV-006"/>
    <x v="0"/>
    <x v="0"/>
    <n v="8"/>
    <n v="1200"/>
    <x v="2"/>
    <n v="9600"/>
  </r>
  <r>
    <x v="5"/>
    <s v="INV-007"/>
    <x v="5"/>
    <x v="0"/>
    <n v="2"/>
    <n v="5500"/>
    <x v="0"/>
    <n v="11000"/>
  </r>
  <r>
    <x v="6"/>
    <s v="INV-008"/>
    <x v="2"/>
    <x v="1"/>
    <n v="3"/>
    <n v="4000"/>
    <x v="2"/>
    <n v="12000"/>
  </r>
  <r>
    <x v="7"/>
    <s v="INV-009"/>
    <x v="1"/>
    <x v="0"/>
    <n v="5"/>
    <n v="2500"/>
    <x v="1"/>
    <n v="12500"/>
  </r>
  <r>
    <x v="8"/>
    <s v="INV-010"/>
    <x v="4"/>
    <x v="1"/>
    <n v="4"/>
    <n v="1800"/>
    <x v="0"/>
    <n v="7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19744-F6D5-4439-B15D-F6C9608441DB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10:D14" firstHeaderRow="1" firstDataRow="1" firstDataCol="1"/>
  <pivotFields count="8">
    <pivotField numFmtId="15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0" baseItem="0"/>
  </dataFields>
  <formats count="1">
    <format dxfId="21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31241-5AE7-49D4-843A-54DE488046F0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L10:M13" firstHeaderRow="1" firstDataRow="1" firstDataCol="1"/>
  <pivotFields count="8">
    <pivotField numFmtId="15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Sales" fld="7" baseField="0" baseItem="0" numFmtId="44"/>
  </dataFields>
  <formats count="3">
    <format dxfId="22">
      <pivotArea grandRow="1" outline="0" collapsedLevelsAreSubtotals="1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707F8-49A4-42CC-B22F-235530D12E75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10:J16" firstHeaderRow="1" firstDataRow="1" firstDataCol="1"/>
  <pivotFields count="8">
    <pivotField numFmtId="15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 sortType="descending">
      <items count="7">
        <item x="0"/>
        <item x="2"/>
        <item h="1" x="4"/>
        <item x="1"/>
        <item x="5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7" baseField="0" baseItem="0" numFmtId="44"/>
  </dataFields>
  <formats count="2">
    <format dxfId="20">
      <pivotArea outline="0" collapsedLevelsAreSubtotals="1" fieldPosition="0"/>
    </format>
    <format dxfId="19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E3408-895C-4E19-8433-5E7951283F4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10:G20" firstHeaderRow="1" firstDataRow="1" firstDataCol="1"/>
  <pivotFields count="8">
    <pivotField axis="axisRow" numFmtId="15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Sales" fld="7" baseField="0" baseItem="0" numFmtId="44"/>
  </dataFields>
  <formats count="4">
    <format dxfId="24">
      <pivotArea collapsedLevelsAreSubtotals="1" fieldPosition="0">
        <references count="1">
          <reference field="0" count="0"/>
        </references>
      </pivotArea>
    </format>
    <format dxfId="23">
      <pivotArea grandRow="1" outline="0" collapsedLevelsAreSubtotals="1" fieldPosition="0"/>
    </format>
    <format dxfId="18">
      <pivotArea outline="0" collapsedLevelsAreSubtotals="1" fieldPosition="0"/>
    </format>
    <format dxfId="17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BA63BA-76EE-440F-B288-B1734D1ED4C6}" name="Table2" displayName="Table2" ref="D5:K15" totalsRowShown="0" headerRowDxfId="25" dataDxfId="26" headerRowBorderDxfId="36" tableBorderDxfId="37" totalsRowBorderDxfId="35">
  <autoFilter ref="D5:K15" xr:uid="{4DBA63BA-76EE-440F-B288-B1734D1ED4C6}"/>
  <tableColumns count="8">
    <tableColumn id="1" xr3:uid="{0546E05F-FDE9-41FA-8944-7BF4BFA756BC}" name="Date" dataDxfId="34"/>
    <tableColumn id="2" xr3:uid="{41C8DCBA-027E-4587-B300-925AD901376A}" name="Invoice ID" dataDxfId="33"/>
    <tableColumn id="3" xr3:uid="{A8CF1FD3-0C92-4849-B438-8286478B7792}" name="Product" dataDxfId="32"/>
    <tableColumn id="4" xr3:uid="{E8C02BB9-DDEC-4B82-AF40-6A02E39293E3}" name="Category" dataDxfId="31"/>
    <tableColumn id="5" xr3:uid="{A14B3777-C12B-4C02-AA8D-4FC1330605BC}" name="Quantity" dataDxfId="30"/>
    <tableColumn id="6" xr3:uid="{22BFCC9A-2A9E-4705-A63B-D0B247F5E489}" name="Unit Price" dataDxfId="29"/>
    <tableColumn id="7" xr3:uid="{997C07F3-35F0-422D-BAF9-C090D5ABD264}" name="Salesperson" dataDxfId="28"/>
    <tableColumn id="8" xr3:uid="{2369D623-2F31-403D-8AA4-A4128611E85F}" name="Total Sales" dataDxfId="27">
      <calculatedColumnFormula>I6*H6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D6DF-D2E8-4842-A55E-09A5E3845222}">
  <dimension ref="C9:M20"/>
  <sheetViews>
    <sheetView tabSelected="1" topLeftCell="B1" workbookViewId="0">
      <selection activeCell="I29" sqref="I29"/>
    </sheetView>
  </sheetViews>
  <sheetFormatPr defaultRowHeight="15" x14ac:dyDescent="0.25"/>
  <cols>
    <col min="1" max="3" width="13.140625" bestFit="1" customWidth="1"/>
    <col min="4" max="4" width="18.7109375" bestFit="1" customWidth="1"/>
    <col min="6" max="6" width="11.140625" customWidth="1"/>
    <col min="7" max="7" width="18.140625" customWidth="1"/>
    <col min="9" max="9" width="13.140625" bestFit="1" customWidth="1"/>
    <col min="10" max="10" width="18.7109375" bestFit="1" customWidth="1"/>
    <col min="11" max="11" width="8.85546875" customWidth="1"/>
    <col min="12" max="12" width="13.140625" bestFit="1" customWidth="1"/>
    <col min="13" max="13" width="17.28515625" style="15" bestFit="1" customWidth="1"/>
  </cols>
  <sheetData>
    <row r="9" spans="3:13" ht="18.75" x14ac:dyDescent="0.25">
      <c r="C9" s="21" t="s">
        <v>39</v>
      </c>
      <c r="D9" s="21"/>
      <c r="F9" s="21" t="s">
        <v>37</v>
      </c>
      <c r="G9" s="21"/>
      <c r="I9" s="21" t="s">
        <v>36</v>
      </c>
      <c r="J9" s="21"/>
      <c r="L9" s="21" t="s">
        <v>38</v>
      </c>
      <c r="M9" s="21"/>
    </row>
    <row r="10" spans="3:13" x14ac:dyDescent="0.25">
      <c r="C10" s="11" t="s">
        <v>29</v>
      </c>
      <c r="D10" s="15" t="s">
        <v>31</v>
      </c>
      <c r="F10" s="11" t="s">
        <v>29</v>
      </c>
      <c r="G10" s="14" t="s">
        <v>31</v>
      </c>
      <c r="I10" s="11" t="s">
        <v>29</v>
      </c>
      <c r="J10" s="14" t="s">
        <v>31</v>
      </c>
      <c r="L10" s="11" t="s">
        <v>29</v>
      </c>
      <c r="M10" s="15" t="s">
        <v>31</v>
      </c>
    </row>
    <row r="11" spans="3:13" x14ac:dyDescent="0.25">
      <c r="C11" s="13" t="s">
        <v>10</v>
      </c>
      <c r="D11" s="15">
        <v>30800</v>
      </c>
      <c r="F11" s="12">
        <v>45658</v>
      </c>
      <c r="G11" s="14">
        <v>13500</v>
      </c>
      <c r="I11" s="13" t="s">
        <v>6</v>
      </c>
      <c r="J11" s="14">
        <v>15600</v>
      </c>
      <c r="L11" s="13" t="s">
        <v>7</v>
      </c>
      <c r="M11" s="15">
        <v>58600</v>
      </c>
    </row>
    <row r="12" spans="3:13" x14ac:dyDescent="0.25">
      <c r="C12" s="13" t="s">
        <v>8</v>
      </c>
      <c r="D12" s="15">
        <v>32200</v>
      </c>
      <c r="F12" s="12">
        <v>45659</v>
      </c>
      <c r="G12" s="14">
        <v>8000</v>
      </c>
      <c r="I12" s="13" t="s">
        <v>11</v>
      </c>
      <c r="J12" s="14">
        <v>20000</v>
      </c>
      <c r="L12" s="13" t="s">
        <v>12</v>
      </c>
      <c r="M12" s="15">
        <v>38000</v>
      </c>
    </row>
    <row r="13" spans="3:13" x14ac:dyDescent="0.25">
      <c r="C13" s="13" t="s">
        <v>14</v>
      </c>
      <c r="D13" s="15">
        <v>33600</v>
      </c>
      <c r="F13" s="12">
        <v>45660</v>
      </c>
      <c r="G13" s="14">
        <v>12000</v>
      </c>
      <c r="I13" s="13" t="s">
        <v>9</v>
      </c>
      <c r="J13" s="14">
        <v>20000</v>
      </c>
      <c r="L13" s="13" t="s">
        <v>30</v>
      </c>
      <c r="M13" s="15">
        <v>96600</v>
      </c>
    </row>
    <row r="14" spans="3:13" x14ac:dyDescent="0.25">
      <c r="C14" s="13" t="s">
        <v>30</v>
      </c>
      <c r="D14" s="15">
        <v>96600</v>
      </c>
      <c r="F14" s="12">
        <v>45661</v>
      </c>
      <c r="G14" s="14">
        <v>10800</v>
      </c>
      <c r="I14" s="13" t="s">
        <v>24</v>
      </c>
      <c r="J14" s="14">
        <v>11000</v>
      </c>
    </row>
    <row r="15" spans="3:13" x14ac:dyDescent="0.25">
      <c r="F15" s="12">
        <v>45662</v>
      </c>
      <c r="G15" s="14">
        <v>9600</v>
      </c>
      <c r="I15" s="13" t="s">
        <v>13</v>
      </c>
      <c r="J15" s="14">
        <v>12000</v>
      </c>
    </row>
    <row r="16" spans="3:13" x14ac:dyDescent="0.25">
      <c r="F16" s="12">
        <v>45663</v>
      </c>
      <c r="G16" s="14">
        <v>11000</v>
      </c>
      <c r="I16" s="13" t="s">
        <v>30</v>
      </c>
      <c r="J16" s="14">
        <v>78600</v>
      </c>
    </row>
    <row r="17" spans="6:7" x14ac:dyDescent="0.25">
      <c r="F17" s="12">
        <v>45664</v>
      </c>
      <c r="G17" s="14">
        <v>12000</v>
      </c>
    </row>
    <row r="18" spans="6:7" x14ac:dyDescent="0.25">
      <c r="F18" s="12">
        <v>45665</v>
      </c>
      <c r="G18" s="14">
        <v>12500</v>
      </c>
    </row>
    <row r="19" spans="6:7" x14ac:dyDescent="0.25">
      <c r="F19" s="12">
        <v>45666</v>
      </c>
      <c r="G19" s="14">
        <v>7200</v>
      </c>
    </row>
    <row r="20" spans="6:7" x14ac:dyDescent="0.25">
      <c r="F20" s="12" t="s">
        <v>30</v>
      </c>
      <c r="G20" s="14">
        <v>96600</v>
      </c>
    </row>
  </sheetData>
  <mergeCells count="4">
    <mergeCell ref="I9:J9"/>
    <mergeCell ref="F9:G9"/>
    <mergeCell ref="L9:M9"/>
    <mergeCell ref="C9:D9"/>
  </mergeCells>
  <conditionalFormatting pivot="1" sqref="J11:J15">
    <cfRule type="cellIs" dxfId="2" priority="1" operator="greaterThan">
      <formula>15500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CD81-8D94-4515-A2DB-0B1E0477D62F}">
  <dimension ref="A1"/>
  <sheetViews>
    <sheetView showGridLines="0" showRowColHeaders="0" topLeftCell="A3" zoomScale="82" zoomScaleNormal="82" workbookViewId="0">
      <selection activeCell="V10" sqref="V10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0C03-C2F5-40E3-A4FE-0E21F87BDFDD}">
  <dimension ref="B2:C5"/>
  <sheetViews>
    <sheetView workbookViewId="0">
      <selection activeCell="E6" sqref="E6"/>
    </sheetView>
  </sheetViews>
  <sheetFormatPr defaultRowHeight="15" x14ac:dyDescent="0.25"/>
  <cols>
    <col min="2" max="2" width="20.140625" customWidth="1"/>
  </cols>
  <sheetData>
    <row r="2" spans="2:3" x14ac:dyDescent="0.25">
      <c r="B2" s="17" t="s">
        <v>32</v>
      </c>
      <c r="C2" s="16">
        <f>SUM(Sales_Data!K:K)</f>
        <v>96600</v>
      </c>
    </row>
    <row r="3" spans="2:3" x14ac:dyDescent="0.25">
      <c r="B3" s="18" t="s">
        <v>33</v>
      </c>
      <c r="C3" s="16">
        <f>SUM(Sales_Data!H:H)</f>
        <v>42</v>
      </c>
    </row>
    <row r="4" spans="2:3" x14ac:dyDescent="0.25">
      <c r="B4" s="19" t="s">
        <v>34</v>
      </c>
      <c r="C4" s="16">
        <f>COUNTA(Sales_Data!E:E)</f>
        <v>11</v>
      </c>
    </row>
    <row r="5" spans="2:3" x14ac:dyDescent="0.25">
      <c r="B5" s="20" t="s">
        <v>35</v>
      </c>
      <c r="C5" s="16">
        <f>C2 / C4</f>
        <v>8781.818181818182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DCD0-CC0B-4A67-AB31-510BDA8D9245}">
  <dimension ref="D5:K15"/>
  <sheetViews>
    <sheetView workbookViewId="0">
      <selection activeCell="K5" sqref="K5"/>
    </sheetView>
  </sheetViews>
  <sheetFormatPr defaultRowHeight="15" x14ac:dyDescent="0.25"/>
  <cols>
    <col min="4" max="4" width="8.28515625" bestFit="1" customWidth="1"/>
    <col min="5" max="5" width="11.85546875" customWidth="1"/>
    <col min="6" max="6" width="10" customWidth="1"/>
    <col min="7" max="7" width="11" customWidth="1"/>
    <col min="8" max="8" width="10.85546875" customWidth="1"/>
    <col min="9" max="9" width="11.85546875" style="1" customWidth="1"/>
    <col min="10" max="10" width="13.85546875" customWidth="1"/>
    <col min="11" max="11" width="12.5703125" customWidth="1"/>
  </cols>
  <sheetData>
    <row r="5" spans="4:11" ht="30" x14ac:dyDescent="0.25">
      <c r="D5" s="8" t="s">
        <v>0</v>
      </c>
      <c r="E5" s="9" t="s">
        <v>16</v>
      </c>
      <c r="F5" s="9" t="s">
        <v>1</v>
      </c>
      <c r="G5" s="9" t="s">
        <v>2</v>
      </c>
      <c r="H5" s="9" t="s">
        <v>3</v>
      </c>
      <c r="I5" s="9" t="s">
        <v>4</v>
      </c>
      <c r="J5" s="9" t="s">
        <v>5</v>
      </c>
      <c r="K5" s="10" t="s">
        <v>28</v>
      </c>
    </row>
    <row r="6" spans="4:11" x14ac:dyDescent="0.25">
      <c r="D6" s="3">
        <v>45658</v>
      </c>
      <c r="E6" s="2" t="s">
        <v>17</v>
      </c>
      <c r="F6" s="2" t="s">
        <v>6</v>
      </c>
      <c r="G6" s="2" t="s">
        <v>7</v>
      </c>
      <c r="H6" s="2">
        <v>5</v>
      </c>
      <c r="I6" s="2">
        <v>1200</v>
      </c>
      <c r="J6" s="2" t="s">
        <v>8</v>
      </c>
      <c r="K6" s="7">
        <f>I6*H6</f>
        <v>6000</v>
      </c>
    </row>
    <row r="7" spans="4:11" x14ac:dyDescent="0.25">
      <c r="D7" s="3">
        <v>45658</v>
      </c>
      <c r="E7" s="2" t="s">
        <v>18</v>
      </c>
      <c r="F7" s="2" t="s">
        <v>9</v>
      </c>
      <c r="G7" s="2" t="s">
        <v>7</v>
      </c>
      <c r="H7" s="2">
        <v>3</v>
      </c>
      <c r="I7" s="2">
        <v>2500</v>
      </c>
      <c r="J7" s="2" t="s">
        <v>10</v>
      </c>
      <c r="K7" s="7">
        <f t="shared" ref="K7:K15" si="0">I7*H7</f>
        <v>7500</v>
      </c>
    </row>
    <row r="8" spans="4:11" x14ac:dyDescent="0.25">
      <c r="D8" s="3">
        <v>45659</v>
      </c>
      <c r="E8" s="2" t="s">
        <v>19</v>
      </c>
      <c r="F8" s="2" t="s">
        <v>11</v>
      </c>
      <c r="G8" s="2" t="s">
        <v>12</v>
      </c>
      <c r="H8" s="2">
        <v>2</v>
      </c>
      <c r="I8" s="2">
        <v>4000</v>
      </c>
      <c r="J8" s="2" t="s">
        <v>8</v>
      </c>
      <c r="K8" s="7">
        <f t="shared" si="0"/>
        <v>8000</v>
      </c>
    </row>
    <row r="9" spans="4:11" x14ac:dyDescent="0.25">
      <c r="D9" s="3">
        <v>45660</v>
      </c>
      <c r="E9" s="2" t="s">
        <v>20</v>
      </c>
      <c r="F9" s="2" t="s">
        <v>13</v>
      </c>
      <c r="G9" s="2" t="s">
        <v>7</v>
      </c>
      <c r="H9" s="2">
        <v>4</v>
      </c>
      <c r="I9" s="2">
        <v>3000</v>
      </c>
      <c r="J9" s="2" t="s">
        <v>14</v>
      </c>
      <c r="K9" s="7">
        <f t="shared" si="0"/>
        <v>12000</v>
      </c>
    </row>
    <row r="10" spans="4:11" x14ac:dyDescent="0.25">
      <c r="D10" s="3">
        <v>45661</v>
      </c>
      <c r="E10" s="2" t="s">
        <v>21</v>
      </c>
      <c r="F10" s="2" t="s">
        <v>15</v>
      </c>
      <c r="G10" s="2" t="s">
        <v>12</v>
      </c>
      <c r="H10" s="2">
        <v>6</v>
      </c>
      <c r="I10" s="2">
        <v>1800</v>
      </c>
      <c r="J10" s="2" t="s">
        <v>10</v>
      </c>
      <c r="K10" s="7">
        <f t="shared" si="0"/>
        <v>10800</v>
      </c>
    </row>
    <row r="11" spans="4:11" x14ac:dyDescent="0.25">
      <c r="D11" s="3">
        <v>45662</v>
      </c>
      <c r="E11" s="2" t="s">
        <v>22</v>
      </c>
      <c r="F11" s="2" t="s">
        <v>6</v>
      </c>
      <c r="G11" s="2" t="s">
        <v>7</v>
      </c>
      <c r="H11" s="2">
        <v>8</v>
      </c>
      <c r="I11" s="2">
        <v>1200</v>
      </c>
      <c r="J11" s="2" t="s">
        <v>14</v>
      </c>
      <c r="K11" s="7">
        <f t="shared" si="0"/>
        <v>9600</v>
      </c>
    </row>
    <row r="12" spans="4:11" x14ac:dyDescent="0.25">
      <c r="D12" s="3">
        <v>45663</v>
      </c>
      <c r="E12" s="2" t="s">
        <v>23</v>
      </c>
      <c r="F12" s="2" t="s">
        <v>24</v>
      </c>
      <c r="G12" s="2" t="s">
        <v>7</v>
      </c>
      <c r="H12" s="2">
        <v>2</v>
      </c>
      <c r="I12" s="2">
        <v>5500</v>
      </c>
      <c r="J12" s="2" t="s">
        <v>8</v>
      </c>
      <c r="K12" s="7">
        <f t="shared" si="0"/>
        <v>11000</v>
      </c>
    </row>
    <row r="13" spans="4:11" x14ac:dyDescent="0.25">
      <c r="D13" s="3">
        <v>45664</v>
      </c>
      <c r="E13" s="2" t="s">
        <v>25</v>
      </c>
      <c r="F13" s="2" t="s">
        <v>11</v>
      </c>
      <c r="G13" s="2" t="s">
        <v>12</v>
      </c>
      <c r="H13" s="2">
        <v>3</v>
      </c>
      <c r="I13" s="2">
        <v>4000</v>
      </c>
      <c r="J13" s="2" t="s">
        <v>14</v>
      </c>
      <c r="K13" s="7">
        <f t="shared" si="0"/>
        <v>12000</v>
      </c>
    </row>
    <row r="14" spans="4:11" x14ac:dyDescent="0.25">
      <c r="D14" s="3">
        <v>45665</v>
      </c>
      <c r="E14" s="2" t="s">
        <v>26</v>
      </c>
      <c r="F14" s="2" t="s">
        <v>9</v>
      </c>
      <c r="G14" s="2" t="s">
        <v>7</v>
      </c>
      <c r="H14" s="2">
        <v>5</v>
      </c>
      <c r="I14" s="2">
        <v>2500</v>
      </c>
      <c r="J14" s="2" t="s">
        <v>10</v>
      </c>
      <c r="K14" s="7">
        <f t="shared" si="0"/>
        <v>12500</v>
      </c>
    </row>
    <row r="15" spans="4:11" x14ac:dyDescent="0.25">
      <c r="D15" s="4">
        <v>45666</v>
      </c>
      <c r="E15" s="5" t="s">
        <v>27</v>
      </c>
      <c r="F15" s="5" t="s">
        <v>15</v>
      </c>
      <c r="G15" s="5" t="s">
        <v>12</v>
      </c>
      <c r="H15" s="5">
        <v>4</v>
      </c>
      <c r="I15" s="5">
        <v>1800</v>
      </c>
      <c r="J15" s="5" t="s">
        <v>8</v>
      </c>
      <c r="K15" s="6">
        <f t="shared" si="0"/>
        <v>7200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Calculations</vt:lpstr>
      <vt:lpstr>Dashboard</vt:lpstr>
      <vt:lpstr>Summary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subhan sohail</dc:creator>
  <cp:lastModifiedBy>subhan sohail</cp:lastModifiedBy>
  <dcterms:created xsi:type="dcterms:W3CDTF">2026-01-15T06:28:13Z</dcterms:created>
  <dcterms:modified xsi:type="dcterms:W3CDTF">2026-01-15T07:47:20Z</dcterms:modified>
</cp:coreProperties>
</file>