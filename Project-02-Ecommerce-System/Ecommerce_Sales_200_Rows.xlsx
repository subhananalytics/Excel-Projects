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24226"/>
  <mc:AlternateContent xmlns:mc="http://schemas.openxmlformats.org/markup-compatibility/2006">
    <mc:Choice Requires="x15">
      <x15ac:absPath xmlns:x15ac="http://schemas.microsoft.com/office/spreadsheetml/2010/11/ac" url="https://d.docs.live.net/628bc82f3e7463da/"/>
    </mc:Choice>
  </mc:AlternateContent>
  <xr:revisionPtr revIDLastSave="754" documentId="13_ncr:1_{2D397F3D-AD97-4512-9116-D37A2A86C826}" xr6:coauthVersionLast="47" xr6:coauthVersionMax="47" xr10:uidLastSave="{00CD7A3B-1524-41CC-B2F0-1F2AA72B067B}"/>
  <bookViews>
    <workbookView xWindow="-120" yWindow="-120" windowWidth="19440" windowHeight="15000" firstSheet="1" activeTab="4" xr2:uid="{00000000-000D-0000-FFFF-FFFF00000000}"/>
  </bookViews>
  <sheets>
    <sheet name="Sales Data" sheetId="1" r:id="rId1"/>
    <sheet name="Dashboard" sheetId="7" r:id="rId2"/>
    <sheet name="Sales Analysis" sheetId="2" r:id="rId3"/>
    <sheet name="Invioce" sheetId="8" r:id="rId4"/>
    <sheet name="Search Bar" sheetId="6" r:id="rId5"/>
    <sheet name="Delivery_Tracking" sheetId="4" r:id="rId6"/>
    <sheet name="Inventory_Tracking" sheetId="5" r:id="rId7"/>
  </sheets>
  <definedNames>
    <definedName name="_xlnm.Print_Area" localSheetId="3">Invioce!$A$1:$F$20</definedName>
    <definedName name="Slicer_City">#N/A</definedName>
    <definedName name="Slicer_Payment_Mode">#N/A</definedName>
    <definedName name="Slicer_Product">#N/A</definedName>
  </definedNames>
  <calcPr calcId="191028"/>
  <pivotCaches>
    <pivotCache cacheId="8160" r:id="rId8"/>
    <pivotCache cacheId="816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c r="D3" i="5"/>
  <c r="D15" i="8"/>
  <c r="C15" i="8"/>
  <c r="E15" i="8" s="1"/>
  <c r="D20" i="8" s="1"/>
  <c r="B15" i="8"/>
  <c r="C11" i="8"/>
  <c r="C12" i="8"/>
  <c r="C10" i="8"/>
  <c r="F4" i="8"/>
  <c r="D4" i="5"/>
  <c r="E4" i="5" s="1"/>
  <c r="F4" i="5" s="1"/>
  <c r="D5" i="5"/>
  <c r="E5" i="5" s="1"/>
  <c r="F5" i="5" s="1"/>
  <c r="D6" i="5"/>
  <c r="E6" i="5" s="1"/>
  <c r="F6" i="5" s="1"/>
  <c r="D7" i="5"/>
  <c r="E7" i="5" s="1"/>
  <c r="F7" i="5" s="1"/>
  <c r="D8" i="5"/>
  <c r="E8" i="5" s="1"/>
  <c r="F8" i="5" s="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3" i="4"/>
  <c r="D3" i="4" a="1"/>
  <c r="D3" i="4"/>
  <c r="C3" i="4" a="1"/>
  <c r="C3" i="4"/>
  <c r="B3" i="4" a="1"/>
  <c r="B3" i="4"/>
  <c r="A3" i="4" a="1"/>
  <c r="A3" i="4"/>
  <c r="C5" i="1"/>
  <c r="C3" i="1"/>
  <c r="C4" i="1"/>
  <c r="C6" i="1"/>
  <c r="C7" i="1"/>
  <c r="C8" i="1"/>
  <c r="C9" i="1"/>
  <c r="C10" i="1"/>
  <c r="C11" i="1"/>
  <c r="C12" i="1"/>
  <c r="C13" i="1"/>
  <c r="C14" i="1"/>
  <c r="C15" i="1"/>
  <c r="C16" i="1"/>
  <c r="C17" i="1"/>
  <c r="C18" i="1"/>
  <c r="C5" i="6" s="1" a="1"/>
  <c r="C5" i="6" s="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 r="Q5" i="7"/>
  <c r="O6" i="7"/>
  <c r="K6" i="7"/>
  <c r="F6" i="7"/>
  <c r="E3" i="5" l="1"/>
  <c r="F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<sst xmlns="http://schemas.openxmlformats.org/spreadsheetml/2006/main" count="1537" uniqueCount="393">
  <si>
    <t>Order ID</t>
  </si>
  <si>
    <t>Order Date</t>
  </si>
  <si>
    <t>Month</t>
  </si>
  <si>
    <t>Customer ID</t>
  </si>
  <si>
    <t>Product</t>
  </si>
  <si>
    <t>Category</t>
  </si>
  <si>
    <t>Quantity</t>
  </si>
  <si>
    <t>Unit Price</t>
  </si>
  <si>
    <t>Revenue</t>
  </si>
  <si>
    <t>Cost</t>
  </si>
  <si>
    <t>Profit</t>
  </si>
  <si>
    <t>Payment Mode</t>
  </si>
  <si>
    <t>City</t>
  </si>
  <si>
    <t>ORD001</t>
  </si>
  <si>
    <t>2025-01-09</t>
  </si>
  <si>
    <t>C016</t>
  </si>
  <si>
    <t>Jeans</t>
  </si>
  <si>
    <t>Clothing</t>
  </si>
  <si>
    <t>Card</t>
  </si>
  <si>
    <t>Faisalabad</t>
  </si>
  <si>
    <t>ORD002</t>
  </si>
  <si>
    <t>2025-01-26</t>
  </si>
  <si>
    <t>C027</t>
  </si>
  <si>
    <t>Sneakers</t>
  </si>
  <si>
    <t>Footwear</t>
  </si>
  <si>
    <t>COD</t>
  </si>
  <si>
    <t>ORD003</t>
  </si>
  <si>
    <t>2025-01-14</t>
  </si>
  <si>
    <t>C078</t>
  </si>
  <si>
    <t>T-Shirt</t>
  </si>
  <si>
    <t>Peshawar</t>
  </si>
  <si>
    <t>ORD004</t>
  </si>
  <si>
    <t>2025-01-24</t>
  </si>
  <si>
    <t>C103</t>
  </si>
  <si>
    <t>Multan</t>
  </si>
  <si>
    <t>ORD005</t>
  </si>
  <si>
    <t>2025-01-01</t>
  </si>
  <si>
    <t>C003</t>
  </si>
  <si>
    <t>ORD006</t>
  </si>
  <si>
    <t>2025-01-29</t>
  </si>
  <si>
    <t>C049</t>
  </si>
  <si>
    <t>Sandals</t>
  </si>
  <si>
    <t>Wallet</t>
  </si>
  <si>
    <t>Lahore</t>
  </si>
  <si>
    <t>ORD007</t>
  </si>
  <si>
    <t>2025-01-17</t>
  </si>
  <si>
    <t>C029</t>
  </si>
  <si>
    <t>ORD008</t>
  </si>
  <si>
    <t>2025-01-12</t>
  </si>
  <si>
    <t>C030</t>
  </si>
  <si>
    <t>ORD009</t>
  </si>
  <si>
    <t>2025-01-30</t>
  </si>
  <si>
    <t>ORD010</t>
  </si>
  <si>
    <t>2025-01-06</t>
  </si>
  <si>
    <t>C081</t>
  </si>
  <si>
    <t>Cap</t>
  </si>
  <si>
    <t>Accessories</t>
  </si>
  <si>
    <t>Islamabad</t>
  </si>
  <si>
    <t>ORD011</t>
  </si>
  <si>
    <t>C093</t>
  </si>
  <si>
    <t>ORD012</t>
  </si>
  <si>
    <t>2025-01-10</t>
  </si>
  <si>
    <t>C037</t>
  </si>
  <si>
    <t>ORD013</t>
  </si>
  <si>
    <t>2025-01-19</t>
  </si>
  <si>
    <t>C110</t>
  </si>
  <si>
    <t>ORD014</t>
  </si>
  <si>
    <t>C086</t>
  </si>
  <si>
    <t>ORD015</t>
  </si>
  <si>
    <t>2025-01-03</t>
  </si>
  <si>
    <t>C057</t>
  </si>
  <si>
    <t>ORD016</t>
  </si>
  <si>
    <t>C108</t>
  </si>
  <si>
    <t>ORD017</t>
  </si>
  <si>
    <t>2025-01-16</t>
  </si>
  <si>
    <t>C006</t>
  </si>
  <si>
    <t>ORD018</t>
  </si>
  <si>
    <t>2025-01-21</t>
  </si>
  <si>
    <t>C022</t>
  </si>
  <si>
    <t>ORD019</t>
  </si>
  <si>
    <t>2025-01-25</t>
  </si>
  <si>
    <t>C026</t>
  </si>
  <si>
    <t>ORD020</t>
  </si>
  <si>
    <t>C045</t>
  </si>
  <si>
    <t>ORD021</t>
  </si>
  <si>
    <t>2025-01-22</t>
  </si>
  <si>
    <t>C071</t>
  </si>
  <si>
    <t>ORD022</t>
  </si>
  <si>
    <t>ORD023</t>
  </si>
  <si>
    <t>C008</t>
  </si>
  <si>
    <t>ORD024</t>
  </si>
  <si>
    <t>C053</t>
  </si>
  <si>
    <t>ORD025</t>
  </si>
  <si>
    <t>C069</t>
  </si>
  <si>
    <t>ORD026</t>
  </si>
  <si>
    <t>2025-01-15</t>
  </si>
  <si>
    <t>C077</t>
  </si>
  <si>
    <t>ORD027</t>
  </si>
  <si>
    <t>2025-01-18</t>
  </si>
  <si>
    <t>C075</t>
  </si>
  <si>
    <t>Karachi</t>
  </si>
  <si>
    <t>ORD028</t>
  </si>
  <si>
    <t>2025-01-02</t>
  </si>
  <si>
    <t>ORD029</t>
  </si>
  <si>
    <t>C002</t>
  </si>
  <si>
    <t>ORD030</t>
  </si>
  <si>
    <t>C080</t>
  </si>
  <si>
    <t>Hoodie</t>
  </si>
  <si>
    <t>ORD031</t>
  </si>
  <si>
    <t>C021</t>
  </si>
  <si>
    <t>ORD032</t>
  </si>
  <si>
    <t>C092</t>
  </si>
  <si>
    <t>ORD033</t>
  </si>
  <si>
    <t>C061</t>
  </si>
  <si>
    <t>ORD034</t>
  </si>
  <si>
    <t>2025-01-11</t>
  </si>
  <si>
    <t>C054</t>
  </si>
  <si>
    <t>ORD035</t>
  </si>
  <si>
    <t>C094</t>
  </si>
  <si>
    <t>ORD036</t>
  </si>
  <si>
    <t>2025-01-27</t>
  </si>
  <si>
    <t>ORD037</t>
  </si>
  <si>
    <t>ORD038</t>
  </si>
  <si>
    <t>C107</t>
  </si>
  <si>
    <t>ORD039</t>
  </si>
  <si>
    <t>2025-01-08</t>
  </si>
  <si>
    <t>C068</t>
  </si>
  <si>
    <t>ORD040</t>
  </si>
  <si>
    <t>ORD041</t>
  </si>
  <si>
    <t>2025-01-05</t>
  </si>
  <si>
    <t>C028</t>
  </si>
  <si>
    <t>ORD042</t>
  </si>
  <si>
    <t>C118</t>
  </si>
  <si>
    <t>ORD043</t>
  </si>
  <si>
    <t>C033</t>
  </si>
  <si>
    <t>ORD044</t>
  </si>
  <si>
    <t>C105</t>
  </si>
  <si>
    <t>ORD045</t>
  </si>
  <si>
    <t>C112</t>
  </si>
  <si>
    <t>ORD046</t>
  </si>
  <si>
    <t>2025-01-13</t>
  </si>
  <si>
    <t>ORD047</t>
  </si>
  <si>
    <t>C025</t>
  </si>
  <si>
    <t>ORD048</t>
  </si>
  <si>
    <t>C065</t>
  </si>
  <si>
    <t>ORD049</t>
  </si>
  <si>
    <t>ORD050</t>
  </si>
  <si>
    <t>C073</t>
  </si>
  <si>
    <t>ORD051</t>
  </si>
  <si>
    <t>C087</t>
  </si>
  <si>
    <t>ORD052</t>
  </si>
  <si>
    <t>C113</t>
  </si>
  <si>
    <t>ORD053</t>
  </si>
  <si>
    <t>ORD054</t>
  </si>
  <si>
    <t>C117</t>
  </si>
  <si>
    <t>ORD055</t>
  </si>
  <si>
    <t>2025-01-20</t>
  </si>
  <si>
    <t>ORD056</t>
  </si>
  <si>
    <t>2025-01-04</t>
  </si>
  <si>
    <t>C038</t>
  </si>
  <si>
    <t>ORD057</t>
  </si>
  <si>
    <t>ORD058</t>
  </si>
  <si>
    <t>C010</t>
  </si>
  <si>
    <t>ORD059</t>
  </si>
  <si>
    <t>C079</t>
  </si>
  <si>
    <t>ORD060</t>
  </si>
  <si>
    <t>C011</t>
  </si>
  <si>
    <t>ORD061</t>
  </si>
  <si>
    <t>C115</t>
  </si>
  <si>
    <t>ORD062</t>
  </si>
  <si>
    <t>ORD063</t>
  </si>
  <si>
    <t>C106</t>
  </si>
  <si>
    <t>ORD064</t>
  </si>
  <si>
    <t>C015</t>
  </si>
  <si>
    <t>ORD065</t>
  </si>
  <si>
    <t>C096</t>
  </si>
  <si>
    <t>ORD066</t>
  </si>
  <si>
    <t>ORD067</t>
  </si>
  <si>
    <t>2025-01-07</t>
  </si>
  <si>
    <t>C084</t>
  </si>
  <si>
    <t>ORD068</t>
  </si>
  <si>
    <t>C119</t>
  </si>
  <si>
    <t>ORD069</t>
  </si>
  <si>
    <t>C051</t>
  </si>
  <si>
    <t>ORD070</t>
  </si>
  <si>
    <t>C041</t>
  </si>
  <si>
    <t>ORD071</t>
  </si>
  <si>
    <t>C101</t>
  </si>
  <si>
    <t>ORD072</t>
  </si>
  <si>
    <t>C046</t>
  </si>
  <si>
    <t>ORD073</t>
  </si>
  <si>
    <t>ORD074</t>
  </si>
  <si>
    <t>C097</t>
  </si>
  <si>
    <t>ORD075</t>
  </si>
  <si>
    <t>C050</t>
  </si>
  <si>
    <t>ORD076</t>
  </si>
  <si>
    <t>C102</t>
  </si>
  <si>
    <t>ORD077</t>
  </si>
  <si>
    <t>C070</t>
  </si>
  <si>
    <t>ORD078</t>
  </si>
  <si>
    <t>ORD079</t>
  </si>
  <si>
    <t>ORD080</t>
  </si>
  <si>
    <t>ORD081</t>
  </si>
  <si>
    <t>2025-01-28</t>
  </si>
  <si>
    <t>ORD082</t>
  </si>
  <si>
    <t>C066</t>
  </si>
  <si>
    <t>ORD083</t>
  </si>
  <si>
    <t>ORD084</t>
  </si>
  <si>
    <t>ORD085</t>
  </si>
  <si>
    <t>ORD086</t>
  </si>
  <si>
    <t>C039</t>
  </si>
  <si>
    <t>ORD087</t>
  </si>
  <si>
    <t>2025-01-23</t>
  </si>
  <si>
    <t>C111</t>
  </si>
  <si>
    <t>ORD088</t>
  </si>
  <si>
    <t>C058</t>
  </si>
  <si>
    <t>ORD089</t>
  </si>
  <si>
    <t>ORD090</t>
  </si>
  <si>
    <t>C034</t>
  </si>
  <si>
    <t>ORD091</t>
  </si>
  <si>
    <t>ORD092</t>
  </si>
  <si>
    <t>C017</t>
  </si>
  <si>
    <t>ORD093</t>
  </si>
  <si>
    <t>C052</t>
  </si>
  <si>
    <t>ORD094</t>
  </si>
  <si>
    <t>C001</t>
  </si>
  <si>
    <t>ORD095</t>
  </si>
  <si>
    <t>C088</t>
  </si>
  <si>
    <t>ORD096</t>
  </si>
  <si>
    <t>C064</t>
  </si>
  <si>
    <t>ORD097</t>
  </si>
  <si>
    <t>C072</t>
  </si>
  <si>
    <t>ORD098</t>
  </si>
  <si>
    <t>ORD099</t>
  </si>
  <si>
    <t>ORD100</t>
  </si>
  <si>
    <t>ORD101</t>
  </si>
  <si>
    <t>ORD102</t>
  </si>
  <si>
    <t>C020</t>
  </si>
  <si>
    <t>ORD103</t>
  </si>
  <si>
    <t>ORD104</t>
  </si>
  <si>
    <t>ORD105</t>
  </si>
  <si>
    <t>C012</t>
  </si>
  <si>
    <t>ORD106</t>
  </si>
  <si>
    <t>ORD107</t>
  </si>
  <si>
    <t>C109</t>
  </si>
  <si>
    <t>ORD108</t>
  </si>
  <si>
    <t>ORD109</t>
  </si>
  <si>
    <t>ORD110</t>
  </si>
  <si>
    <t>ORD111</t>
  </si>
  <si>
    <t>ORD112</t>
  </si>
  <si>
    <t>ORD113</t>
  </si>
  <si>
    <t>ORD114</t>
  </si>
  <si>
    <t>ORD115</t>
  </si>
  <si>
    <t>ORD116</t>
  </si>
  <si>
    <t>ORD117</t>
  </si>
  <si>
    <t>ORD118</t>
  </si>
  <si>
    <t>ORD119</t>
  </si>
  <si>
    <t>ORD120</t>
  </si>
  <si>
    <t>ORD121</t>
  </si>
  <si>
    <t>ORD122</t>
  </si>
  <si>
    <t>ORD123</t>
  </si>
  <si>
    <t>C083</t>
  </si>
  <si>
    <t>ORD124</t>
  </si>
  <si>
    <t>C082</t>
  </si>
  <si>
    <t>ORD125</t>
  </si>
  <si>
    <t>C060</t>
  </si>
  <si>
    <t>ORD126</t>
  </si>
  <si>
    <t>ORD127</t>
  </si>
  <si>
    <t>ORD128</t>
  </si>
  <si>
    <t>C044</t>
  </si>
  <si>
    <t>ORD129</t>
  </si>
  <si>
    <t>ORD130</t>
  </si>
  <si>
    <t>ORD131</t>
  </si>
  <si>
    <t>C100</t>
  </si>
  <si>
    <t>ORD132</t>
  </si>
  <si>
    <t>ORD133</t>
  </si>
  <si>
    <t>C091</t>
  </si>
  <si>
    <t>ORD134</t>
  </si>
  <si>
    <t>ORD135</t>
  </si>
  <si>
    <t>ORD136</t>
  </si>
  <si>
    <t>ORD137</t>
  </si>
  <si>
    <t>ORD138</t>
  </si>
  <si>
    <t>ORD139</t>
  </si>
  <si>
    <t>ORD140</t>
  </si>
  <si>
    <t>ORD141</t>
  </si>
  <si>
    <t>ORD142</t>
  </si>
  <si>
    <t>ORD143</t>
  </si>
  <si>
    <t>ORD144</t>
  </si>
  <si>
    <t>C062</t>
  </si>
  <si>
    <t>ORD145</t>
  </si>
  <si>
    <t>ORD146</t>
  </si>
  <si>
    <t>C116</t>
  </si>
  <si>
    <t>ORD147</t>
  </si>
  <si>
    <t>C098</t>
  </si>
  <si>
    <t>ORD148</t>
  </si>
  <si>
    <t>ORD149</t>
  </si>
  <si>
    <t>ORD150</t>
  </si>
  <si>
    <t>C018</t>
  </si>
  <si>
    <t>ORD151</t>
  </si>
  <si>
    <t>ORD152</t>
  </si>
  <si>
    <t>ORD153</t>
  </si>
  <si>
    <t>C042</t>
  </si>
  <si>
    <t>ORD154</t>
  </si>
  <si>
    <t>C104</t>
  </si>
  <si>
    <t>ORD155</t>
  </si>
  <si>
    <t>ORD156</t>
  </si>
  <si>
    <t>C085</t>
  </si>
  <si>
    <t>ORD157</t>
  </si>
  <si>
    <t>ORD158</t>
  </si>
  <si>
    <t>ORD159</t>
  </si>
  <si>
    <t>ORD160</t>
  </si>
  <si>
    <t>ORD161</t>
  </si>
  <si>
    <t>ORD162</t>
  </si>
  <si>
    <t>ORD163</t>
  </si>
  <si>
    <t>ORD164</t>
  </si>
  <si>
    <t>ORD165</t>
  </si>
  <si>
    <t>ORD166</t>
  </si>
  <si>
    <t>ORD167</t>
  </si>
  <si>
    <t>ORD168</t>
  </si>
  <si>
    <t>C120</t>
  </si>
  <si>
    <t>ORD169</t>
  </si>
  <si>
    <t>C004</t>
  </si>
  <si>
    <t>ORD170</t>
  </si>
  <si>
    <t>ORD171</t>
  </si>
  <si>
    <t>ORD172</t>
  </si>
  <si>
    <t>ORD173</t>
  </si>
  <si>
    <t>ORD174</t>
  </si>
  <si>
    <t>ORD175</t>
  </si>
  <si>
    <t>ORD176</t>
  </si>
  <si>
    <t>C035</t>
  </si>
  <si>
    <t>ORD177</t>
  </si>
  <si>
    <t>C023</t>
  </si>
  <si>
    <t>ORD178</t>
  </si>
  <si>
    <t>C055</t>
  </si>
  <si>
    <t>ORD179</t>
  </si>
  <si>
    <t>ORD180</t>
  </si>
  <si>
    <t>ORD181</t>
  </si>
  <si>
    <t>ORD182</t>
  </si>
  <si>
    <t>C095</t>
  </si>
  <si>
    <t>ORD183</t>
  </si>
  <si>
    <t>ORD184</t>
  </si>
  <si>
    <t>ORD185</t>
  </si>
  <si>
    <t>ORD186</t>
  </si>
  <si>
    <t>ORD187</t>
  </si>
  <si>
    <t>ORD188</t>
  </si>
  <si>
    <t>ORD189</t>
  </si>
  <si>
    <t>ORD190</t>
  </si>
  <si>
    <t>ORD191</t>
  </si>
  <si>
    <t>ORD192</t>
  </si>
  <si>
    <t>ORD193</t>
  </si>
  <si>
    <t>ORD194</t>
  </si>
  <si>
    <t>ORD195</t>
  </si>
  <si>
    <t>ORD196</t>
  </si>
  <si>
    <t>C059</t>
  </si>
  <si>
    <t>ORD197</t>
  </si>
  <si>
    <t>ORD198</t>
  </si>
  <si>
    <t>ORD199</t>
  </si>
  <si>
    <t>ORD200</t>
  </si>
  <si>
    <t>TOTAL SALES &amp; ORDERS</t>
  </si>
  <si>
    <t>SALES BY CITY</t>
  </si>
  <si>
    <t>Total Order</t>
  </si>
  <si>
    <t>Total Sales</t>
  </si>
  <si>
    <t>Row Labels</t>
  </si>
  <si>
    <t>Sum of Revenue</t>
  </si>
  <si>
    <t>Count of Order ID</t>
  </si>
  <si>
    <t>DELIVERY STATUS</t>
  </si>
  <si>
    <t>Delivery Status</t>
  </si>
  <si>
    <t>Delivered</t>
  </si>
  <si>
    <t>Pending</t>
  </si>
  <si>
    <t>Grand Total</t>
  </si>
  <si>
    <t>PAYMENT MODE</t>
  </si>
  <si>
    <t>SALES BY PRODUCT</t>
  </si>
  <si>
    <t>INVIOCE</t>
  </si>
  <si>
    <t>E-commerce Store</t>
  </si>
  <si>
    <t>Order ID :</t>
  </si>
  <si>
    <t>Date :</t>
  </si>
  <si>
    <t>Invioce #</t>
  </si>
  <si>
    <t>BILL TO :</t>
  </si>
  <si>
    <t>Customer ID :</t>
  </si>
  <si>
    <t>City :</t>
  </si>
  <si>
    <t>Payment Mode :</t>
  </si>
  <si>
    <t>Total</t>
  </si>
  <si>
    <t>Discount</t>
  </si>
  <si>
    <t>-</t>
  </si>
  <si>
    <t>Search Bar</t>
  </si>
  <si>
    <t>Delivery Tracking</t>
  </si>
  <si>
    <t>INVENTORY</t>
  </si>
  <si>
    <t>Opening Stock</t>
  </si>
  <si>
    <t>Sold Quantity</t>
  </si>
  <si>
    <t>Available Stock</t>
  </si>
  <si>
    <t>Stock Status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</si>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</sst>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00_);_([$$-409]* \(#,##0.00\);_([$$-409]* &quot;-&quot;??_);_(@_)"/>
  </numFmts>
  <fonts count="16">
    <font>
      <sz val="11"/>
      <color theme="1"/>
      <name val="Calibri"/>
      <family val="2"/>
      <scheme val="minor"/>
    </font>
    <font>
      <b/>
      <sz val="11"/>
      <color theme="1"/>
      <name val="Calibri"/>
      <family val="2"/>
      <scheme val="minor"/>
    </font>
    <font>
      <sz val="11"/>
      <color theme="1"/>
      <name val="Calibri"/>
      <family val="2"/>
      <scheme val="minor"/>
    </font>
    <font>
      <b/>
      <sz val="20"/>
      <color theme="0"/>
      <name val="Calibri"/>
      <family val="2"/>
      <scheme val="minor"/>
    </font>
    <font>
      <b/>
      <sz val="18"/>
      <color theme="0"/>
      <name val="Calibri"/>
      <family val="2"/>
      <scheme val="minor"/>
    </font>
    <font>
      <b/>
      <sz val="11"/>
      <color theme="0"/>
      <name val="Calibri"/>
      <family val="2"/>
      <scheme val="minor"/>
    </font>
    <font>
      <sz val="11"/>
      <color theme="0"/>
      <name val="Calibri"/>
      <family val="2"/>
      <scheme val="minor"/>
    </font>
    <font>
      <b/>
      <sz val="36"/>
      <color theme="0"/>
      <name val="Cambria"/>
      <scheme val="major"/>
    </font>
    <font>
      <b/>
      <sz val="11"/>
      <color theme="0"/>
      <name val="Cambria"/>
      <scheme val="major"/>
    </font>
    <font>
      <b/>
      <i/>
      <sz val="14"/>
      <color rgb="FF0070C0"/>
      <name val="Calibri"/>
      <scheme val="minor"/>
    </font>
    <font>
      <b/>
      <i/>
      <sz val="11"/>
      <color rgb="FF0070C0"/>
      <name val="Calibri"/>
      <family val="2"/>
      <scheme val="minor"/>
    </font>
    <font>
      <b/>
      <sz val="14"/>
      <color theme="1"/>
      <name val="Calibri"/>
      <family val="2"/>
      <scheme val="minor"/>
    </font>
    <font>
      <b/>
      <sz val="18"/>
      <color theme="0"/>
      <name val="Cambria"/>
      <scheme val="major"/>
    </font>
    <font>
      <b/>
      <sz val="14"/>
      <color theme="0"/>
      <name val="Calibri"/>
      <family val="2"/>
      <scheme val="minor"/>
    </font>
    <font>
      <b/>
      <sz val="16"/>
      <color theme="0"/>
      <name val="Calibri"/>
      <family val="2"/>
      <scheme val="minor"/>
    </font>
    <font>
      <sz val="11"/>
      <color rgb="FF0070C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theme="4"/>
        <bgColor theme="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rgb="FF0070C0"/>
        <bgColor indexed="64"/>
      </patternFill>
    </fill>
  </fills>
  <borders count="18">
    <border>
      <left/>
      <right/>
      <top/>
      <bottom/>
      <diagonal/>
    </border>
    <border>
      <left style="thin">
        <color auto="1"/>
      </left>
      <right style="thin">
        <color auto="1"/>
      </right>
      <top/>
      <bottom style="thin">
        <color auto="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62">
    <xf numFmtId="0" fontId="0" fillId="0" borderId="0" xfId="0"/>
    <xf numFmtId="14" fontId="0" fillId="0" borderId="0" xfId="0" applyNumberFormat="1"/>
    <xf numFmtId="1" fontId="0" fillId="0" borderId="0" xfId="0" applyNumberFormat="1"/>
    <xf numFmtId="164" fontId="0" fillId="0" borderId="0" xfId="0" applyNumberFormat="1"/>
    <xf numFmtId="44" fontId="0" fillId="0" borderId="0" xfId="1" applyFont="1"/>
    <xf numFmtId="4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4" fillId="4" borderId="2" xfId="0" applyFont="1" applyFill="1" applyBorder="1" applyAlignment="1">
      <alignment horizontal="center"/>
    </xf>
    <xf numFmtId="0" fontId="0" fillId="0" borderId="3" xfId="0" applyBorder="1"/>
    <xf numFmtId="0" fontId="0" fillId="0" borderId="0" xfId="0" applyAlignment="1">
      <alignment wrapText="1"/>
    </xf>
    <xf numFmtId="0" fontId="0" fillId="0" borderId="4" xfId="0" applyBorder="1"/>
    <xf numFmtId="1" fontId="0" fillId="0" borderId="4" xfId="0" applyNumberFormat="1" applyBorder="1"/>
    <xf numFmtId="0" fontId="0" fillId="0" borderId="4" xfId="0" applyBorder="1">
      <extLst>
        <ext xmlns:xfpb="http://schemas.microsoft.com/office/spreadsheetml/2022/featurepropertybag" uri="{C7286773-470A-42A8-94C5-96B5CB345126}">
          <xfpb:xfComplement i="0"/>
        </ext>
      </extLst>
    </xf>
    <xf numFmtId="0" fontId="6" fillId="6" borderId="5" xfId="0" applyFont="1" applyFill="1" applyBorder="1"/>
    <xf numFmtId="0" fontId="6" fillId="7" borderId="4" xfId="0" applyFont="1" applyFill="1" applyBorder="1"/>
    <xf numFmtId="0" fontId="0" fillId="0" borderId="4" xfId="0" applyBorder="1" applyAlignment="1">
      <alignment horizontal="left"/>
    </xf>
    <xf numFmtId="0" fontId="0" fillId="0" borderId="4" xfId="0" applyBorder="1" applyAlignment="1">
      <alignment wrapText="1"/>
    </xf>
    <xf numFmtId="0" fontId="0" fillId="8" borderId="0" xfId="0" applyFill="1"/>
    <xf numFmtId="0" fontId="0" fillId="0" borderId="12" xfId="0" applyBorder="1"/>
    <xf numFmtId="0" fontId="0" fillId="0" borderId="13" xfId="0" applyBorder="1"/>
    <xf numFmtId="0" fontId="11" fillId="0" borderId="12" xfId="0" applyFont="1" applyBorder="1"/>
    <xf numFmtId="0" fontId="11" fillId="0" borderId="0" xfId="0" applyFont="1"/>
    <xf numFmtId="14" fontId="0" fillId="0" borderId="13" xfId="0" applyNumberFormat="1" applyBorder="1"/>
    <xf numFmtId="0" fontId="13" fillId="9" borderId="4" xfId="0" applyFont="1" applyFill="1" applyBorder="1" applyAlignment="1">
      <alignment horizontal="center" vertical="center"/>
    </xf>
    <xf numFmtId="0" fontId="14" fillId="9" borderId="4" xfId="0" applyFont="1" applyFill="1" applyBorder="1" applyAlignment="1">
      <alignment horizontal="center" vertical="center"/>
    </xf>
    <xf numFmtId="165" fontId="0" fillId="0" borderId="4" xfId="0" applyNumberFormat="1" applyBorder="1"/>
    <xf numFmtId="9" fontId="0" fillId="0" borderId="4" xfId="0" applyNumberFormat="1" applyBorder="1"/>
    <xf numFmtId="0" fontId="0" fillId="0" borderId="4" xfId="0" applyBorder="1" applyAlignment="1">
      <alignment horizontal="center" vertical="center"/>
    </xf>
    <xf numFmtId="0" fontId="0" fillId="0" borderId="4" xfId="0" applyBorder="1" applyAlignment="1">
      <alignment horizontal="center"/>
    </xf>
    <xf numFmtId="165" fontId="0" fillId="7" borderId="4" xfId="0" applyNumberFormat="1" applyFill="1" applyBorder="1"/>
    <xf numFmtId="0" fontId="0" fillId="8" borderId="0" xfId="0" applyFill="1" applyAlignment="1">
      <alignment vertical="center"/>
    </xf>
    <xf numFmtId="0" fontId="0" fillId="3" borderId="14" xfId="0" applyFill="1" applyBorder="1"/>
    <xf numFmtId="14" fontId="0" fillId="3" borderId="15" xfId="0" applyNumberFormat="1" applyFill="1" applyBorder="1"/>
    <xf numFmtId="0" fontId="0" fillId="3" borderId="16" xfId="0" applyFill="1" applyBorder="1"/>
    <xf numFmtId="0" fontId="5" fillId="5" borderId="17" xfId="0" applyFont="1" applyFill="1" applyBorder="1" applyAlignment="1">
      <alignment horizontal="center" vertical="top"/>
    </xf>
    <xf numFmtId="14" fontId="5" fillId="5" borderId="17" xfId="0" applyNumberFormat="1" applyFont="1" applyFill="1" applyBorder="1" applyAlignment="1">
      <alignment horizontal="center" vertical="top"/>
    </xf>
    <xf numFmtId="1" fontId="5" fillId="5" borderId="17" xfId="0" applyNumberFormat="1" applyFont="1" applyFill="1" applyBorder="1" applyAlignment="1">
      <alignment horizontal="center" vertical="top"/>
    </xf>
    <xf numFmtId="164" fontId="5" fillId="5" borderId="17" xfId="0" applyNumberFormat="1" applyFont="1" applyFill="1" applyBorder="1" applyAlignment="1">
      <alignment horizontal="center" vertical="top"/>
    </xf>
    <xf numFmtId="44" fontId="0" fillId="8" borderId="0" xfId="1" applyFont="1" applyFill="1"/>
    <xf numFmtId="2" fontId="15" fillId="8" borderId="0" xfId="1" applyNumberFormat="1" applyFont="1" applyFill="1"/>
    <xf numFmtId="2" fontId="0" fillId="8" borderId="0" xfId="0" applyNumberFormat="1" applyFill="1"/>
    <xf numFmtId="0" fontId="0" fillId="0" borderId="0" xfId="0" applyNumberFormat="1"/>
    <xf numFmtId="0" fontId="11" fillId="2" borderId="0" xfId="0" applyFont="1" applyFill="1" applyAlignment="1">
      <alignment horizontal="center" vertical="center"/>
    </xf>
    <xf numFmtId="0" fontId="7" fillId="9"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9" borderId="11" xfId="0" applyFont="1" applyFill="1" applyBorder="1" applyAlignment="1">
      <alignment horizontal="center" vertical="center"/>
    </xf>
    <xf numFmtId="0" fontId="9" fillId="3" borderId="12" xfId="0" applyFont="1" applyFill="1" applyBorder="1" applyAlignment="1">
      <alignment horizontal="center"/>
    </xf>
    <xf numFmtId="0" fontId="10" fillId="3" borderId="0" xfId="0" applyFont="1" applyFill="1" applyAlignment="1">
      <alignment horizontal="center"/>
    </xf>
    <xf numFmtId="0" fontId="10" fillId="3" borderId="13" xfId="0" applyFont="1" applyFill="1" applyBorder="1" applyAlignment="1">
      <alignment horizontal="center"/>
    </xf>
    <xf numFmtId="0" fontId="12" fillId="9" borderId="12" xfId="0" applyFont="1" applyFill="1" applyBorder="1" applyAlignment="1">
      <alignment horizontal="left" vertical="center"/>
    </xf>
    <xf numFmtId="0" fontId="12" fillId="9" borderId="0" xfId="0" applyFont="1" applyFill="1" applyAlignment="1">
      <alignment horizontal="left" vertical="center"/>
    </xf>
    <xf numFmtId="0" fontId="12" fillId="9" borderId="13" xfId="0" applyFont="1" applyFill="1" applyBorder="1" applyAlignment="1">
      <alignment horizontal="left" vertical="center"/>
    </xf>
    <xf numFmtId="0" fontId="13" fillId="9" borderId="4" xfId="0" applyFont="1" applyFill="1" applyBorder="1" applyAlignment="1">
      <alignment horizontal="center"/>
    </xf>
    <xf numFmtId="0" fontId="4" fillId="7" borderId="6"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0" fontId="3" fillId="6" borderId="4" xfId="0" applyFont="1" applyFill="1" applyBorder="1" applyAlignment="1">
      <alignment horizontal="center"/>
    </xf>
  </cellXfs>
  <cellStyles count="2">
    <cellStyle name="Currency" xfId="1" builtinId="4"/>
    <cellStyle name="Normal" xfId="0" builtinId="0"/>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quot;$&quot;#,##0.00"/>
    </dxf>
    <dxf>
      <numFmt numFmtId="164" formatCode="&quot;$&quot;#,##0.00"/>
    </dxf>
    <dxf>
      <numFmt numFmtId="164" formatCode="&quot;$&quot;#,##0.00"/>
    </dxf>
    <dxf>
      <numFmt numFmtId="164" formatCode="&quot;$&quot;#,##0.00"/>
    </dxf>
    <dxf>
      <numFmt numFmtId="1" formatCode="0"/>
    </dxf>
    <dxf>
      <numFmt numFmtId="19" formatCode="m/d/yyyy"/>
    </dxf>
    <dxf>
      <numFmt numFmtId="19" formatCode="m/d/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numFmt numFmtId="164" formatCode="&quot;$&quot;#,##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Analysis!PivotTable2</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Analysis'!$B$23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'Sales Analysis'!$A$24:$A$30</c:f>
              <c:strCache>
                <c:ptCount val="6"/>
                <c:pt idx="0">
                  <c:v>Cap</c:v>
                </c:pt>
                <c:pt idx="1">
                  <c:v>Hoodie</c:v>
                </c:pt>
                <c:pt idx="2">
                  <c:v>Jeans</c:v>
                </c:pt>
                <c:pt idx="3">
                  <c:v>Sandals</c:v>
                </c:pt>
                <c:pt idx="4">
                  <c:v>Sneakers</c:v>
                </c:pt>
                <c:pt idx="5">
                  <c:v>T-Shirt</c:v>
                </c:pt>
              </c:strCache>
            </c:strRef>
          </c:cat>
          <c:val>
            <c:numRef>
              <c:f>'Sales Analysis'!$B$24:$B$30</c:f>
              <c:numCache>
                <c:formatCode>"$"#,##0.00</c:formatCode>
                <c:ptCount val="6"/>
                <c:pt idx="0">
                  <c:v>78400</c:v>
                </c:pt>
                <c:pt idx="1">
                  <c:v>213000</c:v>
                </c:pt>
                <c:pt idx="2">
                  <c:v>205000</c:v>
                </c:pt>
                <c:pt idx="3">
                  <c:v>178200</c:v>
                </c:pt>
                <c:pt idx="4">
                  <c:v>328000</c:v>
                </c:pt>
                <c:pt idx="5">
                  <c:v>94800</c:v>
                </c:pt>
              </c:numCache>
            </c:numRef>
          </c:val>
          <c:extLst>
            <c:ext xmlns:c16="http://schemas.microsoft.com/office/drawing/2014/chart" uri="{C3380CC4-5D6E-409C-BE32-E72D297353CC}">
              <c16:uniqueId val="{00000000-3EB2-48EB-9FAF-0F156B62C2B6}"/>
            </c:ext>
          </c:extLst>
        </c:ser>
        <c:dLbls>
          <c:showLegendKey val="0"/>
          <c:showVal val="0"/>
          <c:showCatName val="0"/>
          <c:showSerName val="0"/>
          <c:showPercent val="0"/>
          <c:showBubbleSize val="0"/>
        </c:dLbls>
        <c:gapWidth val="150"/>
        <c:shape val="box"/>
        <c:axId val="1762298175"/>
        <c:axId val="1762299135"/>
        <c:axId val="0"/>
      </c:bar3DChart>
      <c:catAx>
        <c:axId val="176229817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2299135"/>
        <c:crosses val="autoZero"/>
        <c:auto val="1"/>
        <c:lblAlgn val="ctr"/>
        <c:lblOffset val="100"/>
        <c:noMultiLvlLbl val="0"/>
      </c:catAx>
      <c:valAx>
        <c:axId val="1762299135"/>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229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Analysis'!$E$3</c:f>
              <c:strCache>
                <c:ptCount val="1"/>
                <c:pt idx="0">
                  <c:v>Sum of Revenue</c:v>
                </c:pt>
              </c:strCache>
            </c:strRef>
          </c:tx>
          <c:spPr>
            <a:solidFill>
              <a:schemeClr val="accent1"/>
            </a:solidFill>
            <a:ln>
              <a:noFill/>
            </a:ln>
            <a:effectLst/>
          </c:spPr>
          <c:invertIfNegative val="0"/>
          <c:cat>
            <c:strRef>
              <c:f>'Sales Analysis'!$D$4:$D$10</c:f>
              <c:strCache>
                <c:ptCount val="6"/>
                <c:pt idx="0">
                  <c:v>Faisalabad</c:v>
                </c:pt>
                <c:pt idx="1">
                  <c:v>Islamabad</c:v>
                </c:pt>
                <c:pt idx="2">
                  <c:v>Karachi</c:v>
                </c:pt>
                <c:pt idx="3">
                  <c:v>Lahore</c:v>
                </c:pt>
                <c:pt idx="4">
                  <c:v>Multan</c:v>
                </c:pt>
                <c:pt idx="5">
                  <c:v>Peshawar</c:v>
                </c:pt>
              </c:strCache>
            </c:strRef>
          </c:cat>
          <c:val>
            <c:numRef>
              <c:f>'Sales Analysis'!$E$4:$E$10</c:f>
              <c:numCache>
                <c:formatCode>"$"#,##0.00</c:formatCode>
                <c:ptCount val="6"/>
                <c:pt idx="0">
                  <c:v>45000</c:v>
                </c:pt>
                <c:pt idx="1">
                  <c:v>42500</c:v>
                </c:pt>
                <c:pt idx="2">
                  <c:v>25000</c:v>
                </c:pt>
                <c:pt idx="3">
                  <c:v>17500</c:v>
                </c:pt>
                <c:pt idx="4">
                  <c:v>40000</c:v>
                </c:pt>
                <c:pt idx="5">
                  <c:v>35000</c:v>
                </c:pt>
              </c:numCache>
            </c:numRef>
          </c:val>
          <c:extLst>
            <c:ext xmlns:c16="http://schemas.microsoft.com/office/drawing/2014/chart" uri="{C3380CC4-5D6E-409C-BE32-E72D297353CC}">
              <c16:uniqueId val="{00000000-00D6-4058-AEA4-91D0957DB5BA}"/>
            </c:ext>
          </c:extLst>
        </c:ser>
        <c:ser>
          <c:idx val="1"/>
          <c:order val="1"/>
          <c:tx>
            <c:strRef>
              <c:f>'Sales Analysis'!$F$3</c:f>
              <c:strCache>
                <c:ptCount val="1"/>
                <c:pt idx="0">
                  <c:v>Count of Order ID</c:v>
                </c:pt>
              </c:strCache>
            </c:strRef>
          </c:tx>
          <c:spPr>
            <a:solidFill>
              <a:schemeClr val="accent2"/>
            </a:solidFill>
            <a:ln>
              <a:noFill/>
            </a:ln>
            <a:effectLst/>
          </c:spPr>
          <c:invertIfNegative val="0"/>
          <c:cat>
            <c:strRef>
              <c:f>'Sales Analysis'!$D$4:$D$10</c:f>
              <c:strCache>
                <c:ptCount val="6"/>
                <c:pt idx="0">
                  <c:v>Faisalabad</c:v>
                </c:pt>
                <c:pt idx="1">
                  <c:v>Islamabad</c:v>
                </c:pt>
                <c:pt idx="2">
                  <c:v>Karachi</c:v>
                </c:pt>
                <c:pt idx="3">
                  <c:v>Lahore</c:v>
                </c:pt>
                <c:pt idx="4">
                  <c:v>Multan</c:v>
                </c:pt>
                <c:pt idx="5">
                  <c:v>Peshawar</c:v>
                </c:pt>
              </c:strCache>
            </c:strRef>
          </c:cat>
          <c:val>
            <c:numRef>
              <c:f>'Sales Analysis'!$F$4:$F$10</c:f>
              <c:numCache>
                <c:formatCode>General</c:formatCode>
                <c:ptCount val="6"/>
                <c:pt idx="0">
                  <c:v>7</c:v>
                </c:pt>
                <c:pt idx="1">
                  <c:v>6</c:v>
                </c:pt>
                <c:pt idx="2">
                  <c:v>4</c:v>
                </c:pt>
                <c:pt idx="3">
                  <c:v>3</c:v>
                </c:pt>
                <c:pt idx="4">
                  <c:v>6</c:v>
                </c:pt>
                <c:pt idx="5">
                  <c:v>6</c:v>
                </c:pt>
              </c:numCache>
            </c:numRef>
          </c:val>
          <c:extLst>
            <c:ext xmlns:c16="http://schemas.microsoft.com/office/drawing/2014/chart" uri="{C3380CC4-5D6E-409C-BE32-E72D297353CC}">
              <c16:uniqueId val="{00000001-00D6-4058-AEA4-91D0957DB5BA}"/>
            </c:ext>
          </c:extLst>
        </c:ser>
        <c:dLbls>
          <c:showLegendKey val="0"/>
          <c:showVal val="0"/>
          <c:showCatName val="0"/>
          <c:showSerName val="0"/>
          <c:showPercent val="0"/>
          <c:showBubbleSize val="0"/>
        </c:dLbls>
        <c:gapWidth val="182"/>
        <c:axId val="1318434431"/>
        <c:axId val="1318434911"/>
      </c:barChart>
      <c:catAx>
        <c:axId val="1318434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34911"/>
        <c:crosses val="autoZero"/>
        <c:auto val="1"/>
        <c:lblAlgn val="ctr"/>
        <c:lblOffset val="100"/>
        <c:noMultiLvlLbl val="0"/>
      </c:catAx>
      <c:valAx>
        <c:axId val="13184349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Analysis'!$B$8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2C-4DB2-BDB5-262B270B4B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2C-4DB2-BDB5-262B270B4B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Analysis'!$A$9:$A$11</c:f>
              <c:strCache>
                <c:ptCount val="2"/>
                <c:pt idx="0">
                  <c:v>Delivered</c:v>
                </c:pt>
                <c:pt idx="1">
                  <c:v>Pending</c:v>
                </c:pt>
              </c:strCache>
            </c:strRef>
          </c:cat>
          <c:val>
            <c:numRef>
              <c:f>'Sales Analysis'!$B$9:$B$11</c:f>
              <c:numCache>
                <c:formatCode>General</c:formatCode>
                <c:ptCount val="2"/>
                <c:pt idx="0">
                  <c:v>177</c:v>
                </c:pt>
                <c:pt idx="1">
                  <c:v>23</c:v>
                </c:pt>
              </c:numCache>
            </c:numRef>
          </c:val>
          <c:extLst>
            <c:ext xmlns:c16="http://schemas.microsoft.com/office/drawing/2014/chart" uri="{C3380CC4-5D6E-409C-BE32-E72D297353CC}">
              <c16:uniqueId val="{00000004-392C-4DB2-BDB5-262B270B4B6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Analysis'!$B$15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90-436A-BD1B-56508D2E3F5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90-436A-BD1B-56508D2E3F5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90-436A-BD1B-56508D2E3F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Analysis'!$A$16:$A$19</c:f>
              <c:strCache>
                <c:ptCount val="3"/>
                <c:pt idx="0">
                  <c:v>Card</c:v>
                </c:pt>
                <c:pt idx="1">
                  <c:v>COD</c:v>
                </c:pt>
                <c:pt idx="2">
                  <c:v>Wallet</c:v>
                </c:pt>
              </c:strCache>
            </c:strRef>
          </c:cat>
          <c:val>
            <c:numRef>
              <c:f>'Sales Analysis'!$B$16:$B$19</c:f>
              <c:numCache>
                <c:formatCode>General</c:formatCode>
                <c:ptCount val="3"/>
                <c:pt idx="0">
                  <c:v>70</c:v>
                </c:pt>
                <c:pt idx="1">
                  <c:v>65</c:v>
                </c:pt>
                <c:pt idx="2">
                  <c:v>65</c:v>
                </c:pt>
              </c:numCache>
            </c:numRef>
          </c:val>
          <c:extLst>
            <c:ext xmlns:c16="http://schemas.microsoft.com/office/drawing/2014/chart" uri="{C3380CC4-5D6E-409C-BE32-E72D297353CC}">
              <c16:uniqueId val="{00000006-8690-436A-BD1B-56508D2E3F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83344</xdr:colOff>
      <xdr:row>3</xdr:row>
      <xdr:rowOff>157428</xdr:rowOff>
    </xdr:from>
    <xdr:to>
      <xdr:col>3</xdr:col>
      <xdr:colOff>452438</xdr:colOff>
      <xdr:row>7</xdr:row>
      <xdr:rowOff>43128</xdr:rowOff>
    </xdr:to>
    <xdr:sp macro="" textlink="">
      <xdr:nvSpPr>
        <xdr:cNvPr id="3" name="Rounded Rectangle 2" title="Total Orders">
          <a:extLst>
            <a:ext uri="{FF2B5EF4-FFF2-40B4-BE49-F238E27FC236}">
              <a16:creationId xmlns:a16="http://schemas.microsoft.com/office/drawing/2014/main" id="{6BDAB177-3F61-0E9C-B82A-55546AC4647E}"/>
            </a:ext>
            <a:ext uri="{147F2762-F138-4A5C-976F-8EAC2B608ADB}">
              <a16:predDERef xmlns:a16="http://schemas.microsoft.com/office/drawing/2014/main" pred="{86259BAF-027C-14D4-8AE7-D0B131B673DD}"/>
            </a:ext>
          </a:extLst>
        </xdr:cNvPr>
        <xdr:cNvSpPr/>
      </xdr:nvSpPr>
      <xdr:spPr>
        <a:xfrm>
          <a:off x="83344" y="728928"/>
          <a:ext cx="2190750"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chemeClr val="accent1"/>
              </a:solidFill>
              <a:latin typeface="+mn-lt"/>
              <a:ea typeface="+mn-lt"/>
              <a:cs typeface="+mn-lt"/>
            </a:rPr>
            <a:t>Total Orders</a:t>
          </a:r>
          <a:r>
            <a:rPr lang="en-US" sz="1600" b="1" i="0" u="none" strike="noStrike">
              <a:solidFill>
                <a:schemeClr val="accen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0</xdr:col>
      <xdr:colOff>57150</xdr:colOff>
      <xdr:row>0</xdr:row>
      <xdr:rowOff>130969</xdr:rowOff>
    </xdr:from>
    <xdr:to>
      <xdr:col>19</xdr:col>
      <xdr:colOff>603250</xdr:colOff>
      <xdr:row>3</xdr:row>
      <xdr:rowOff>111919</xdr:rowOff>
    </xdr:to>
    <xdr:sp macro="" textlink="">
      <xdr:nvSpPr>
        <xdr:cNvPr id="2" name="Rounded Rectangle 1" title="e">
          <a:extLst>
            <a:ext uri="{FF2B5EF4-FFF2-40B4-BE49-F238E27FC236}">
              <a16:creationId xmlns:a16="http://schemas.microsoft.com/office/drawing/2014/main" id="{86259BAF-027C-14D4-8AE7-D0B131B673DD}"/>
            </a:ext>
          </a:extLst>
        </xdr:cNvPr>
        <xdr:cNvSpPr/>
      </xdr:nvSpPr>
      <xdr:spPr>
        <a:xfrm>
          <a:off x="57150" y="130969"/>
          <a:ext cx="13131006"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800" u="none" strike="noStrike">
              <a:solidFill>
                <a:schemeClr val="lt1"/>
              </a:solidFill>
              <a:latin typeface="Cambria" panose="02040503050406030204" pitchFamily="18" charset="0"/>
              <a:ea typeface="Cambria" panose="02040503050406030204" pitchFamily="18" charset="0"/>
            </a:rPr>
            <a:t>E-Commerce Sales Dashboard</a:t>
          </a:r>
          <a:endParaRPr lang="en-US" sz="1100" u="none" strike="noStrike">
            <a:solidFill>
              <a:schemeClr val="lt1"/>
            </a:solidFill>
            <a:latin typeface="+mn-lt"/>
            <a:ea typeface="+mn-lt"/>
            <a:cs typeface="+mn-lt"/>
          </a:endParaRPr>
        </a:p>
        <a:p>
          <a:pPr marL="0" indent="0" algn="ctr"/>
          <a:endParaRPr lang="en-US" sz="1100">
            <a:solidFill>
              <a:schemeClr val="lt1"/>
            </a:solidFill>
            <a:latin typeface="+mn-lt"/>
            <a:ea typeface="+mn-lt"/>
            <a:cs typeface="+mn-lt"/>
          </a:endParaRPr>
        </a:p>
      </xdr:txBody>
    </xdr:sp>
    <xdr:clientData/>
  </xdr:twoCellAnchor>
  <xdr:oneCellAnchor>
    <xdr:from>
      <xdr:col>2</xdr:col>
      <xdr:colOff>169333</xdr:colOff>
      <xdr:row>5</xdr:row>
      <xdr:rowOff>52917</xdr:rowOff>
    </xdr:from>
    <xdr:ext cx="184731" cy="264560"/>
    <xdr:sp macro="" textlink="">
      <xdr:nvSpPr>
        <xdr:cNvPr id="5" name="TextBox 4">
          <a:extLst>
            <a:ext uri="{FF2B5EF4-FFF2-40B4-BE49-F238E27FC236}">
              <a16:creationId xmlns:a16="http://schemas.microsoft.com/office/drawing/2014/main" id="{4BC28E7D-C058-DF45-C99C-5899DF05C008}"/>
            </a:ext>
          </a:extLst>
        </xdr:cNvPr>
        <xdr:cNvSpPr txBox="1"/>
      </xdr:nvSpPr>
      <xdr:spPr>
        <a:xfrm>
          <a:off x="1397000" y="1005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169333</xdr:colOff>
      <xdr:row>5</xdr:row>
      <xdr:rowOff>137583</xdr:rowOff>
    </xdr:from>
    <xdr:ext cx="184731" cy="264560"/>
    <xdr:sp macro="" textlink="">
      <xdr:nvSpPr>
        <xdr:cNvPr id="6" name="TextBox 5">
          <a:extLst>
            <a:ext uri="{FF2B5EF4-FFF2-40B4-BE49-F238E27FC236}">
              <a16:creationId xmlns:a16="http://schemas.microsoft.com/office/drawing/2014/main" id="{3227DA2F-74B8-C5E5-C49B-86B17DF804DF}"/>
            </a:ext>
          </a:extLst>
        </xdr:cNvPr>
        <xdr:cNvSpPr txBox="1"/>
      </xdr:nvSpPr>
      <xdr:spPr>
        <a:xfrm>
          <a:off x="1397000" y="1090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169333</xdr:colOff>
      <xdr:row>5</xdr:row>
      <xdr:rowOff>158750</xdr:rowOff>
    </xdr:from>
    <xdr:ext cx="184731" cy="264560"/>
    <xdr:sp macro="" textlink="">
      <xdr:nvSpPr>
        <xdr:cNvPr id="7" name="TextBox 6">
          <a:extLst>
            <a:ext uri="{FF2B5EF4-FFF2-40B4-BE49-F238E27FC236}">
              <a16:creationId xmlns:a16="http://schemas.microsoft.com/office/drawing/2014/main" id="{38AFA65A-7CA8-6199-B374-560B43EBA559}"/>
            </a:ext>
          </a:extLst>
        </xdr:cNvPr>
        <xdr:cNvSpPr txBox="1"/>
      </xdr:nvSpPr>
      <xdr:spPr>
        <a:xfrm>
          <a:off x="1397000" y="111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95250</xdr:colOff>
      <xdr:row>9</xdr:row>
      <xdr:rowOff>179917</xdr:rowOff>
    </xdr:from>
    <xdr:ext cx="216534" cy="264560"/>
    <xdr:sp macro="" textlink="$G$6">
      <xdr:nvSpPr>
        <xdr:cNvPr id="10" name="TextBox 9">
          <a:extLst>
            <a:ext uri="{FF2B5EF4-FFF2-40B4-BE49-F238E27FC236}">
              <a16:creationId xmlns:a16="http://schemas.microsoft.com/office/drawing/2014/main" id="{0BAB4E42-64A0-9E21-0D4B-1A7D5E7D270F}"/>
            </a:ext>
          </a:extLst>
        </xdr:cNvPr>
        <xdr:cNvSpPr txBox="1"/>
      </xdr:nvSpPr>
      <xdr:spPr>
        <a:xfrm>
          <a:off x="1322917" y="1894417"/>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EBBB57-D256-44E5-9E24-250C73A0DB9A}" type="TxLink">
            <a:rPr lang="en-US" sz="1100" b="0" i="0" u="none" strike="noStrike">
              <a:solidFill>
                <a:srgbClr val="000000"/>
              </a:solidFill>
              <a:latin typeface="Calibri"/>
              <a:cs typeface="Calibri"/>
            </a:rPr>
            <a:pPr/>
            <a:t> </a:t>
          </a:fld>
          <a:endParaRPr lang="en-US" sz="1100"/>
        </a:p>
      </xdr:txBody>
    </xdr:sp>
    <xdr:clientData/>
  </xdr:oneCellAnchor>
  <xdr:oneCellAnchor>
    <xdr:from>
      <xdr:col>1</xdr:col>
      <xdr:colOff>256647</xdr:colOff>
      <xdr:row>4</xdr:row>
      <xdr:rowOff>144199</xdr:rowOff>
    </xdr:from>
    <xdr:ext cx="1778000" cy="405432"/>
    <xdr:sp macro="" textlink="$B$5">
      <xdr:nvSpPr>
        <xdr:cNvPr id="11" name="TextBox 10">
          <a:extLst>
            <a:ext uri="{FF2B5EF4-FFF2-40B4-BE49-F238E27FC236}">
              <a16:creationId xmlns:a16="http://schemas.microsoft.com/office/drawing/2014/main" id="{3E67F390-3D65-ACB3-2CC6-4A74F1EE4192}"/>
            </a:ext>
          </a:extLst>
        </xdr:cNvPr>
        <xdr:cNvSpPr txBox="1"/>
      </xdr:nvSpPr>
      <xdr:spPr>
        <a:xfrm>
          <a:off x="863866" y="906199"/>
          <a:ext cx="1778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E5DA19-2676-4642-B0DC-1D221CFEEBC0}" type="TxLink">
            <a:rPr lang="en-US" sz="2000" b="1" i="0" u="none" strike="noStrike">
              <a:solidFill>
                <a:srgbClr val="0070C0"/>
              </a:solidFill>
              <a:latin typeface="Calibri"/>
              <a:cs typeface="Calibri"/>
            </a:rPr>
            <a:pPr algn="ctr"/>
            <a:t>200.00</a:t>
          </a:fld>
          <a:endParaRPr lang="en-US" sz="2000" b="1"/>
        </a:p>
      </xdr:txBody>
    </xdr:sp>
    <xdr:clientData/>
  </xdr:oneCellAnchor>
  <xdr:twoCellAnchor>
    <xdr:from>
      <xdr:col>3</xdr:col>
      <xdr:colOff>482864</xdr:colOff>
      <xdr:row>3</xdr:row>
      <xdr:rowOff>157425</xdr:rowOff>
    </xdr:from>
    <xdr:to>
      <xdr:col>7</xdr:col>
      <xdr:colOff>394228</xdr:colOff>
      <xdr:row>7</xdr:row>
      <xdr:rowOff>43125</xdr:rowOff>
    </xdr:to>
    <xdr:sp macro="" textlink="">
      <xdr:nvSpPr>
        <xdr:cNvPr id="12" name="Rounded Rectangle 2" title="Total Orders">
          <a:extLst>
            <a:ext uri="{FF2B5EF4-FFF2-40B4-BE49-F238E27FC236}">
              <a16:creationId xmlns:a16="http://schemas.microsoft.com/office/drawing/2014/main" id="{42E1D888-193F-48AD-BF18-7CB5DE0F8D5B}"/>
            </a:ext>
            <a:ext uri="{147F2762-F138-4A5C-976F-8EAC2B608ADB}">
              <a16:predDERef xmlns:a16="http://schemas.microsoft.com/office/drawing/2014/main" pred="{86259BAF-027C-14D4-8AE7-D0B131B673DD}"/>
            </a:ext>
          </a:extLst>
        </xdr:cNvPr>
        <xdr:cNvSpPr/>
      </xdr:nvSpPr>
      <xdr:spPr>
        <a:xfrm>
          <a:off x="2304520" y="728925"/>
          <a:ext cx="3245114"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Total Revenue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5</xdr:col>
      <xdr:colOff>80697</xdr:colOff>
      <xdr:row>4</xdr:row>
      <xdr:rowOff>168011</xdr:rowOff>
    </xdr:from>
    <xdr:ext cx="1830917" cy="402166"/>
    <xdr:sp macro="" textlink="$F$6">
      <xdr:nvSpPr>
        <xdr:cNvPr id="13" name="TextBox 12">
          <a:extLst>
            <a:ext uri="{FF2B5EF4-FFF2-40B4-BE49-F238E27FC236}">
              <a16:creationId xmlns:a16="http://schemas.microsoft.com/office/drawing/2014/main" id="{059AB3B5-3ADE-9CED-B45A-70C134C7FA8C}"/>
            </a:ext>
          </a:extLst>
        </xdr:cNvPr>
        <xdr:cNvSpPr txBox="1"/>
      </xdr:nvSpPr>
      <xdr:spPr>
        <a:xfrm>
          <a:off x="3628760" y="930011"/>
          <a:ext cx="1830917" cy="402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3C01DD-1508-42FD-B9AB-923F0B3F47C8}" type="TxLink">
            <a:rPr lang="en-US" sz="2000" b="1" i="0" u="none" strike="noStrike">
              <a:solidFill>
                <a:srgbClr val="0070C0"/>
              </a:solidFill>
              <a:latin typeface="Calibri"/>
              <a:cs typeface="Calibri"/>
            </a:rPr>
            <a:pPr/>
            <a:t> $1,097,400.00 </a:t>
          </a:fld>
          <a:endParaRPr lang="en-US" sz="2000" b="1">
            <a:solidFill>
              <a:srgbClr val="0070C0"/>
            </a:solidFill>
          </a:endParaRPr>
        </a:p>
      </xdr:txBody>
    </xdr:sp>
    <xdr:clientData/>
  </xdr:oneCellAnchor>
  <xdr:twoCellAnchor>
    <xdr:from>
      <xdr:col>7</xdr:col>
      <xdr:colOff>428623</xdr:colOff>
      <xdr:row>3</xdr:row>
      <xdr:rowOff>190498</xdr:rowOff>
    </xdr:from>
    <xdr:to>
      <xdr:col>11</xdr:col>
      <xdr:colOff>476249</xdr:colOff>
      <xdr:row>7</xdr:row>
      <xdr:rowOff>76198</xdr:rowOff>
    </xdr:to>
    <xdr:sp macro="" textlink="">
      <xdr:nvSpPr>
        <xdr:cNvPr id="15" name="Rounded Rectangle 2" title="Total Orders">
          <a:extLst>
            <a:ext uri="{FF2B5EF4-FFF2-40B4-BE49-F238E27FC236}">
              <a16:creationId xmlns:a16="http://schemas.microsoft.com/office/drawing/2014/main" id="{91F1A8F4-704B-42C1-B128-849CA2A29F32}"/>
            </a:ext>
            <a:ext uri="{147F2762-F138-4A5C-976F-8EAC2B608ADB}">
              <a16:predDERef xmlns:a16="http://schemas.microsoft.com/office/drawing/2014/main" pred="{86259BAF-027C-14D4-8AE7-D0B131B673DD}"/>
            </a:ext>
          </a:extLst>
        </xdr:cNvPr>
        <xdr:cNvSpPr/>
      </xdr:nvSpPr>
      <xdr:spPr>
        <a:xfrm>
          <a:off x="5584029" y="761998"/>
          <a:ext cx="2476501"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Delivered Orders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10</xdr:col>
      <xdr:colOff>190500</xdr:colOff>
      <xdr:row>5</xdr:row>
      <xdr:rowOff>35719</xdr:rowOff>
    </xdr:from>
    <xdr:ext cx="903004" cy="405432"/>
    <xdr:sp macro="" textlink="$K$6">
      <xdr:nvSpPr>
        <xdr:cNvPr id="17" name="TextBox 16">
          <a:extLst>
            <a:ext uri="{FF2B5EF4-FFF2-40B4-BE49-F238E27FC236}">
              <a16:creationId xmlns:a16="http://schemas.microsoft.com/office/drawing/2014/main" id="{C0ED1DC8-1C4F-C675-F0B8-7BF36134BFB7}"/>
            </a:ext>
          </a:extLst>
        </xdr:cNvPr>
        <xdr:cNvSpPr txBox="1"/>
      </xdr:nvSpPr>
      <xdr:spPr>
        <a:xfrm>
          <a:off x="7167563" y="988219"/>
          <a:ext cx="9030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AC01B1-6CFF-4038-BCBB-B3A1DEE47581}" type="TxLink">
            <a:rPr lang="en-US" sz="2000" b="1" i="0" u="none" strike="noStrike">
              <a:solidFill>
                <a:srgbClr val="0070C0"/>
              </a:solidFill>
              <a:latin typeface="Calibri"/>
              <a:cs typeface="Calibri"/>
            </a:rPr>
            <a:pPr/>
            <a:t>177.00</a:t>
          </a:fld>
          <a:endParaRPr lang="en-US" sz="2000" b="1">
            <a:solidFill>
              <a:srgbClr val="0070C0"/>
            </a:solidFill>
          </a:endParaRPr>
        </a:p>
      </xdr:txBody>
    </xdr:sp>
    <xdr:clientData/>
  </xdr:oneCellAnchor>
  <xdr:twoCellAnchor>
    <xdr:from>
      <xdr:col>11</xdr:col>
      <xdr:colOff>523876</xdr:colOff>
      <xdr:row>4</xdr:row>
      <xdr:rowOff>1</xdr:rowOff>
    </xdr:from>
    <xdr:to>
      <xdr:col>15</xdr:col>
      <xdr:colOff>428624</xdr:colOff>
      <xdr:row>7</xdr:row>
      <xdr:rowOff>76201</xdr:rowOff>
    </xdr:to>
    <xdr:sp macro="" textlink="">
      <xdr:nvSpPr>
        <xdr:cNvPr id="18" name="Rounded Rectangle 2" title="Total Orders">
          <a:extLst>
            <a:ext uri="{FF2B5EF4-FFF2-40B4-BE49-F238E27FC236}">
              <a16:creationId xmlns:a16="http://schemas.microsoft.com/office/drawing/2014/main" id="{F951133F-04C0-42A2-9CA7-17BF8A122855}"/>
            </a:ext>
            <a:ext uri="{147F2762-F138-4A5C-976F-8EAC2B608ADB}">
              <a16:predDERef xmlns:a16="http://schemas.microsoft.com/office/drawing/2014/main" pred="{86259BAF-027C-14D4-8AE7-D0B131B673DD}"/>
            </a:ext>
          </a:extLst>
        </xdr:cNvPr>
        <xdr:cNvSpPr/>
      </xdr:nvSpPr>
      <xdr:spPr>
        <a:xfrm>
          <a:off x="8108157" y="762001"/>
          <a:ext cx="2333623"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Pending Orders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14</xdr:col>
      <xdr:colOff>238125</xdr:colOff>
      <xdr:row>4</xdr:row>
      <xdr:rowOff>190498</xdr:rowOff>
    </xdr:from>
    <xdr:ext cx="916780" cy="345283"/>
    <xdr:sp macro="" textlink="$O$6">
      <xdr:nvSpPr>
        <xdr:cNvPr id="19" name="TextBox 18">
          <a:extLst>
            <a:ext uri="{FF2B5EF4-FFF2-40B4-BE49-F238E27FC236}">
              <a16:creationId xmlns:a16="http://schemas.microsoft.com/office/drawing/2014/main" id="{E4C55DF5-FF27-BACD-7B66-709B1059D506}"/>
            </a:ext>
          </a:extLst>
        </xdr:cNvPr>
        <xdr:cNvSpPr txBox="1"/>
      </xdr:nvSpPr>
      <xdr:spPr>
        <a:xfrm>
          <a:off x="9644063" y="952498"/>
          <a:ext cx="916780" cy="345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A52ECD1-675E-4C9D-AE80-773AFA3FBB49}" type="TxLink">
            <a:rPr lang="en-US" sz="2000" b="1" i="0" u="none" strike="noStrike">
              <a:solidFill>
                <a:srgbClr val="0070C0"/>
              </a:solidFill>
              <a:latin typeface="Calibri"/>
              <a:cs typeface="Calibri"/>
            </a:rPr>
            <a:pPr/>
            <a:t>23.00</a:t>
          </a:fld>
          <a:endParaRPr lang="en-US" sz="2000" b="1">
            <a:solidFill>
              <a:srgbClr val="0070C0"/>
            </a:solidFill>
          </a:endParaRPr>
        </a:p>
      </xdr:txBody>
    </xdr:sp>
    <xdr:clientData/>
  </xdr:oneCellAnchor>
  <xdr:twoCellAnchor>
    <xdr:from>
      <xdr:col>15</xdr:col>
      <xdr:colOff>466725</xdr:colOff>
      <xdr:row>4</xdr:row>
      <xdr:rowOff>0</xdr:rowOff>
    </xdr:from>
    <xdr:to>
      <xdr:col>20</xdr:col>
      <xdr:colOff>19050</xdr:colOff>
      <xdr:row>7</xdr:row>
      <xdr:rowOff>76200</xdr:rowOff>
    </xdr:to>
    <xdr:sp macro="" textlink="">
      <xdr:nvSpPr>
        <xdr:cNvPr id="20" name="Rounded Rectangle 2" title="Total Orders">
          <a:extLst>
            <a:ext uri="{FF2B5EF4-FFF2-40B4-BE49-F238E27FC236}">
              <a16:creationId xmlns:a16="http://schemas.microsoft.com/office/drawing/2014/main" id="{99DDCBE0-B9C7-4BFC-A1F2-E84D1041A8F6}"/>
            </a:ext>
            <a:ext uri="{147F2762-F138-4A5C-976F-8EAC2B608ADB}">
              <a16:predDERef xmlns:a16="http://schemas.microsoft.com/office/drawing/2014/main" pred="{E4C55DF5-FF27-BACD-7B66-709B1059D506}"/>
            </a:ext>
          </a:extLst>
        </xdr:cNvPr>
        <xdr:cNvSpPr/>
      </xdr:nvSpPr>
      <xdr:spPr>
        <a:xfrm>
          <a:off x="10515600" y="762000"/>
          <a:ext cx="2743200"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chemeClr val="accent1"/>
              </a:solidFill>
              <a:latin typeface="+mn-lt"/>
              <a:ea typeface="+mn-lt"/>
              <a:cs typeface="+mn-lt"/>
            </a:rPr>
            <a:t>Total Orders</a:t>
          </a:r>
          <a:r>
            <a:rPr lang="en-US" sz="1600" b="1" i="0" u="none" strike="noStrike">
              <a:solidFill>
                <a:schemeClr val="accen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oneCellAnchor>
    <xdr:from>
      <xdr:col>17</xdr:col>
      <xdr:colOff>297657</xdr:colOff>
      <xdr:row>5</xdr:row>
      <xdr:rowOff>0</xdr:rowOff>
    </xdr:from>
    <xdr:ext cx="1339149" cy="405432"/>
    <xdr:sp macro="" textlink="$Q$5">
      <xdr:nvSpPr>
        <xdr:cNvPr id="21" name="TextBox 20">
          <a:extLst>
            <a:ext uri="{FF2B5EF4-FFF2-40B4-BE49-F238E27FC236}">
              <a16:creationId xmlns:a16="http://schemas.microsoft.com/office/drawing/2014/main" id="{D2361225-CB80-9583-FA53-A2F6AF8716B5}"/>
            </a:ext>
          </a:extLst>
        </xdr:cNvPr>
        <xdr:cNvSpPr txBox="1"/>
      </xdr:nvSpPr>
      <xdr:spPr>
        <a:xfrm>
          <a:off x="11668126" y="952500"/>
          <a:ext cx="133914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5AC2781-457E-4838-840D-F2722608B80D}" type="TxLink">
            <a:rPr lang="en-US" sz="2000" b="1" i="0" u="none" strike="noStrike">
              <a:solidFill>
                <a:srgbClr val="0070C0"/>
              </a:solidFill>
              <a:latin typeface="Calibri"/>
              <a:cs typeface="Calibri"/>
            </a:rPr>
            <a:pPr/>
            <a:t> $5,487.00 </a:t>
          </a:fld>
          <a:endParaRPr lang="en-US" sz="2000" b="1">
            <a:solidFill>
              <a:srgbClr val="0070C0"/>
            </a:solidFill>
          </a:endParaRPr>
        </a:p>
      </xdr:txBody>
    </xdr:sp>
    <xdr:clientData/>
  </xdr:oneCellAnchor>
  <xdr:twoCellAnchor>
    <xdr:from>
      <xdr:col>0</xdr:col>
      <xdr:colOff>130969</xdr:colOff>
      <xdr:row>7</xdr:row>
      <xdr:rowOff>166687</xdr:rowOff>
    </xdr:from>
    <xdr:to>
      <xdr:col>6</xdr:col>
      <xdr:colOff>154781</xdr:colOff>
      <xdr:row>21</xdr:row>
      <xdr:rowOff>183355</xdr:rowOff>
    </xdr:to>
    <xdr:graphicFrame macro="">
      <xdr:nvGraphicFramePr>
        <xdr:cNvPr id="22" name="Chart 21">
          <a:extLst>
            <a:ext uri="{FF2B5EF4-FFF2-40B4-BE49-F238E27FC236}">
              <a16:creationId xmlns:a16="http://schemas.microsoft.com/office/drawing/2014/main" id="{E704F027-3C88-434B-8C44-B44F6E37E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261938</xdr:colOff>
      <xdr:row>7</xdr:row>
      <xdr:rowOff>142875</xdr:rowOff>
    </xdr:from>
    <xdr:to>
      <xdr:col>15</xdr:col>
      <xdr:colOff>416720</xdr:colOff>
      <xdr:row>21</xdr:row>
      <xdr:rowOff>154781</xdr:rowOff>
    </xdr:to>
    <xdr:graphicFrame macro="">
      <xdr:nvGraphicFramePr>
        <xdr:cNvPr id="24" name="Chart 23">
          <a:extLst>
            <a:ext uri="{FF2B5EF4-FFF2-40B4-BE49-F238E27FC236}">
              <a16:creationId xmlns:a16="http://schemas.microsoft.com/office/drawing/2014/main" id="{EE58B83D-DE81-4FD2-9D51-CD385324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130969</xdr:colOff>
      <xdr:row>22</xdr:row>
      <xdr:rowOff>59531</xdr:rowOff>
    </xdr:from>
    <xdr:to>
      <xdr:col>6</xdr:col>
      <xdr:colOff>166687</xdr:colOff>
      <xdr:row>36</xdr:row>
      <xdr:rowOff>135731</xdr:rowOff>
    </xdr:to>
    <xdr:graphicFrame macro="">
      <xdr:nvGraphicFramePr>
        <xdr:cNvPr id="25" name="Chart 24">
          <a:extLst>
            <a:ext uri="{FF2B5EF4-FFF2-40B4-BE49-F238E27FC236}">
              <a16:creationId xmlns:a16="http://schemas.microsoft.com/office/drawing/2014/main" id="{19045C7A-F845-4FFC-BC48-9A80BD545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285749</xdr:colOff>
      <xdr:row>22</xdr:row>
      <xdr:rowOff>47625</xdr:rowOff>
    </xdr:from>
    <xdr:to>
      <xdr:col>15</xdr:col>
      <xdr:colOff>404812</xdr:colOff>
      <xdr:row>36</xdr:row>
      <xdr:rowOff>123825</xdr:rowOff>
    </xdr:to>
    <xdr:graphicFrame macro="">
      <xdr:nvGraphicFramePr>
        <xdr:cNvPr id="26" name="Chart 25">
          <a:extLst>
            <a:ext uri="{FF2B5EF4-FFF2-40B4-BE49-F238E27FC236}">
              <a16:creationId xmlns:a16="http://schemas.microsoft.com/office/drawing/2014/main" id="{6C8BCD56-CDA3-4D8F-B8AA-08C7778FE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535782</xdr:colOff>
      <xdr:row>8</xdr:row>
      <xdr:rowOff>2382</xdr:rowOff>
    </xdr:from>
    <xdr:to>
      <xdr:col>19</xdr:col>
      <xdr:colOff>488156</xdr:colOff>
      <xdr:row>18</xdr:row>
      <xdr:rowOff>71437</xdr:rowOff>
    </xdr:to>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031486DA-7477-A246-06E1-E08BC34393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48938" y="1526382"/>
              <a:ext cx="2524124" cy="1974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559594</xdr:colOff>
      <xdr:row>18</xdr:row>
      <xdr:rowOff>145257</xdr:rowOff>
    </xdr:from>
    <xdr:to>
      <xdr:col>19</xdr:col>
      <xdr:colOff>511969</xdr:colOff>
      <xdr:row>25</xdr:row>
      <xdr:rowOff>83345</xdr:rowOff>
    </xdr:to>
    <mc:AlternateContent xmlns:mc="http://schemas.openxmlformats.org/markup-compatibility/2006" xmlns:a14="http://schemas.microsoft.com/office/drawing/2010/main">
      <mc:Choice Requires="a14">
        <xdr:graphicFrame macro="">
          <xdr:nvGraphicFramePr>
            <xdr:cNvPr id="28" name="Payment Mode">
              <a:extLst>
                <a:ext uri="{FF2B5EF4-FFF2-40B4-BE49-F238E27FC236}">
                  <a16:creationId xmlns:a16="http://schemas.microsoft.com/office/drawing/2014/main" id="{AFC35E24-EA8A-473B-FF13-3EC9CFE52D6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0572750" y="3574257"/>
              <a:ext cx="2524125" cy="127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571501</xdr:colOff>
      <xdr:row>25</xdr:row>
      <xdr:rowOff>145256</xdr:rowOff>
    </xdr:from>
    <xdr:to>
      <xdr:col>19</xdr:col>
      <xdr:colOff>500063</xdr:colOff>
      <xdr:row>36</xdr:row>
      <xdr:rowOff>83343</xdr:rowOff>
    </xdr:to>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92514978-C229-D35E-C62B-AD84C269791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84657" y="4907756"/>
              <a:ext cx="2500312" cy="2033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S" refreshedDate="46044.739709374997" createdVersion="8" refreshedVersion="8" minRefreshableVersion="3" recordCount="200" xr:uid="{BDE0D916-D80A-4A7A-A53A-924C459CD6BF}">
  <cacheSource type="worksheet">
    <worksheetSource name="Table1"/>
  </cacheSource>
  <cacheFields count="13">
    <cacheField name="Order ID" numFmtId="0">
      <sharedItems count="2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haredItems>
    </cacheField>
    <cacheField name="Order Date" numFmtId="14">
      <sharedItems count="30">
        <s v="2025-01-09"/>
        <s v="2025-01-26"/>
        <s v="2025-01-14"/>
        <s v="2025-01-24"/>
        <s v="2025-01-01"/>
        <s v="2025-01-29"/>
        <s v="2025-01-17"/>
        <s v="2025-01-12"/>
        <s v="2025-01-30"/>
        <s v="2025-01-06"/>
        <s v="2025-01-10"/>
        <s v="2025-01-19"/>
        <s v="2025-01-03"/>
        <s v="2025-01-16"/>
        <s v="2025-01-21"/>
        <s v="2025-01-25"/>
        <s v="2025-01-22"/>
        <s v="2025-01-15"/>
        <s v="2025-01-18"/>
        <s v="2025-01-02"/>
        <s v="2025-01-11"/>
        <s v="2025-01-27"/>
        <s v="2025-01-08"/>
        <s v="2025-01-05"/>
        <s v="2025-01-13"/>
        <s v="2025-01-20"/>
        <s v="2025-01-04"/>
        <s v="2025-01-07"/>
        <s v="2025-01-28"/>
        <s v="2025-01-23"/>
      </sharedItems>
    </cacheField>
    <cacheField name="Month" numFmtId="14">
      <sharedItems count="1">
        <s v="Jan-2025"/>
      </sharedItems>
    </cacheField>
    <cacheField name="Customer ID" numFmtId="0">
      <sharedItems count="97">
        <s v="C016"/>
        <s v="C027"/>
        <s v="C078"/>
        <s v="C103"/>
        <s v="C003"/>
        <s v="C049"/>
        <s v="C029"/>
        <s v="C030"/>
        <s v="C081"/>
        <s v="C093"/>
        <s v="C037"/>
        <s v="C110"/>
        <s v="C086"/>
        <s v="C057"/>
        <s v="C108"/>
        <s v="C006"/>
        <s v="C022"/>
        <s v="C026"/>
        <s v="C045"/>
        <s v="C071"/>
        <s v="C008"/>
        <s v="C053"/>
        <s v="C069"/>
        <s v="C077"/>
        <s v="C075"/>
        <s v="C002"/>
        <s v="C080"/>
        <s v="C021"/>
        <s v="C092"/>
        <s v="C061"/>
        <s v="C054"/>
        <s v="C094"/>
        <s v="C107"/>
        <s v="C068"/>
        <s v="C028"/>
        <s v="C118"/>
        <s v="C033"/>
        <s v="C105"/>
        <s v="C112"/>
        <s v="C025"/>
        <s v="C065"/>
        <s v="C073"/>
        <s v="C087"/>
        <s v="C113"/>
        <s v="C117"/>
        <s v="C038"/>
        <s v="C010"/>
        <s v="C079"/>
        <s v="C011"/>
        <s v="C115"/>
        <s v="C106"/>
        <s v="C015"/>
        <s v="C096"/>
        <s v="C084"/>
        <s v="C119"/>
        <s v="C051"/>
        <s v="C041"/>
        <s v="C101"/>
        <s v="C046"/>
        <s v="C097"/>
        <s v="C050"/>
        <s v="C102"/>
        <s v="C070"/>
        <s v="C066"/>
        <s v="C039"/>
        <s v="C111"/>
        <s v="C058"/>
        <s v="C034"/>
        <s v="C017"/>
        <s v="C052"/>
        <s v="C001"/>
        <s v="C088"/>
        <s v="C064"/>
        <s v="C072"/>
        <s v="C020"/>
        <s v="C012"/>
        <s v="C109"/>
        <s v="C083"/>
        <s v="C082"/>
        <s v="C060"/>
        <s v="C044"/>
        <s v="C100"/>
        <s v="C091"/>
        <s v="C062"/>
        <s v="C116"/>
        <s v="C098"/>
        <s v="C018"/>
        <s v="C042"/>
        <s v="C104"/>
        <s v="C085"/>
        <s v="C120"/>
        <s v="C004"/>
        <s v="C035"/>
        <s v="C023"/>
        <s v="C055"/>
        <s v="C095"/>
        <s v="C059"/>
      </sharedItems>
    </cacheField>
    <cacheField name="Product" numFmtId="0">
      <sharedItems count="6">
        <s v="Jeans"/>
        <s v="Sneakers"/>
        <s v="T-Shirt"/>
        <s v="Sandals"/>
        <s v="Cap"/>
        <s v="Hoodie"/>
      </sharedItems>
    </cacheField>
    <cacheField name="Category" numFmtId="0">
      <sharedItems count="3">
        <s v="Clothing"/>
        <s v="Footwear"/>
        <s v="Accessories"/>
      </sharedItems>
    </cacheField>
    <cacheField name="Quantity" numFmtId="1">
      <sharedItems containsSemiMixedTypes="0" containsString="0" containsNumber="1" containsInteger="1" minValue="1" maxValue="4"/>
    </cacheField>
    <cacheField name="Unit Price" numFmtId="164">
      <sharedItems containsSemiMixedTypes="0" containsString="0" containsNumber="1" containsInteger="1" minValue="800" maxValue="4000"/>
    </cacheField>
    <cacheField name="Revenue" numFmtId="164">
      <sharedItems containsSemiMixedTypes="0" containsString="0" containsNumber="1" containsInteger="1" minValue="800" maxValue="16000"/>
    </cacheField>
    <cacheField name="Cost" numFmtId="164">
      <sharedItems containsSemiMixedTypes="0" containsString="0" containsNumber="1" containsInteger="1" minValue="400" maxValue="12000"/>
    </cacheField>
    <cacheField name="Profit" numFmtId="164">
      <sharedItems containsSemiMixedTypes="0" containsString="0" containsNumber="1" containsInteger="1" minValue="400" maxValue="4000"/>
    </cacheField>
    <cacheField name="Payment Mode" numFmtId="0">
      <sharedItems count="3">
        <s v="Card"/>
        <s v="COD"/>
        <s v="Wallet"/>
      </sharedItems>
    </cacheField>
    <cacheField name="City" numFmtId="0">
      <sharedItems count="6">
        <s v="Faisalabad"/>
        <s v="Peshawar"/>
        <s v="Multan"/>
        <s v="Lahore"/>
        <s v="Islamabad"/>
        <s v="Karachi"/>
      </sharedItems>
    </cacheField>
  </cacheFields>
  <extLst>
    <ext xmlns:x14="http://schemas.microsoft.com/office/spreadsheetml/2009/9/main" uri="{725AE2AE-9491-48be-B2B4-4EB974FC3084}">
      <x14:pivotCacheDefinition pivotCacheId="21182811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9.684618402775" createdVersion="8" refreshedVersion="8" minRefreshableVersion="3" recordCount="200" xr:uid="{4C8EBEEE-DD62-4627-A8EC-03B479395CED}">
  <cacheSource type="worksheet">
    <worksheetSource ref="A2:F202" sheet="Delivery_Tracking"/>
  </cacheSource>
  <cacheFields count="6">
    <cacheField name="Order ID" numFmtId="0">
      <sharedItems/>
    </cacheField>
    <cacheField name="Customer ID" numFmtId="0">
      <sharedItems/>
    </cacheField>
    <cacheField name="Product" numFmtId="0">
      <sharedItems/>
    </cacheField>
    <cacheField name="Quantity" numFmtId="0">
      <sharedItems containsSemiMixedTypes="0" containsString="0" containsNumber="1" containsInteger="1" minValue="1" maxValue="4"/>
    </cacheField>
    <cacheField name="Delivered" numFmtId="0">
      <sharedItems/>
    </cacheField>
    <cacheField name="Delivery Status" numFmtId="0">
      <sharedItems count="2">
        <s v="Delivered"/>
        <s v="Pend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1"/>
    <n v="2500"/>
    <n v="2500"/>
    <n v="1800"/>
    <n v="700"/>
    <x v="0"/>
    <x v="0"/>
  </r>
  <r>
    <x v="1"/>
    <x v="1"/>
    <x v="0"/>
    <x v="1"/>
    <x v="1"/>
    <x v="1"/>
    <n v="4"/>
    <n v="4000"/>
    <n v="16000"/>
    <n v="12000"/>
    <n v="4000"/>
    <x v="1"/>
    <x v="0"/>
  </r>
  <r>
    <x v="2"/>
    <x v="2"/>
    <x v="0"/>
    <x v="2"/>
    <x v="2"/>
    <x v="0"/>
    <n v="4"/>
    <n v="1200"/>
    <n v="4800"/>
    <n v="3200"/>
    <n v="1600"/>
    <x v="1"/>
    <x v="1"/>
  </r>
  <r>
    <x v="3"/>
    <x v="3"/>
    <x v="0"/>
    <x v="3"/>
    <x v="1"/>
    <x v="1"/>
    <n v="3"/>
    <n v="4000"/>
    <n v="12000"/>
    <n v="9000"/>
    <n v="3000"/>
    <x v="1"/>
    <x v="2"/>
  </r>
  <r>
    <x v="4"/>
    <x v="4"/>
    <x v="0"/>
    <x v="4"/>
    <x v="2"/>
    <x v="0"/>
    <n v="3"/>
    <n v="1200"/>
    <n v="3600"/>
    <n v="2400"/>
    <n v="1200"/>
    <x v="1"/>
    <x v="1"/>
  </r>
  <r>
    <x v="5"/>
    <x v="5"/>
    <x v="0"/>
    <x v="5"/>
    <x v="3"/>
    <x v="1"/>
    <n v="1"/>
    <n v="1800"/>
    <n v="1800"/>
    <n v="1200"/>
    <n v="600"/>
    <x v="2"/>
    <x v="3"/>
  </r>
  <r>
    <x v="6"/>
    <x v="6"/>
    <x v="0"/>
    <x v="6"/>
    <x v="1"/>
    <x v="1"/>
    <n v="1"/>
    <n v="4000"/>
    <n v="4000"/>
    <n v="3000"/>
    <n v="1000"/>
    <x v="0"/>
    <x v="0"/>
  </r>
  <r>
    <x v="7"/>
    <x v="7"/>
    <x v="0"/>
    <x v="7"/>
    <x v="3"/>
    <x v="1"/>
    <n v="2"/>
    <n v="1800"/>
    <n v="3600"/>
    <n v="2400"/>
    <n v="1200"/>
    <x v="2"/>
    <x v="3"/>
  </r>
  <r>
    <x v="8"/>
    <x v="8"/>
    <x v="0"/>
    <x v="4"/>
    <x v="1"/>
    <x v="1"/>
    <n v="3"/>
    <n v="4000"/>
    <n v="12000"/>
    <n v="9000"/>
    <n v="3000"/>
    <x v="0"/>
    <x v="2"/>
  </r>
  <r>
    <x v="9"/>
    <x v="9"/>
    <x v="0"/>
    <x v="8"/>
    <x v="4"/>
    <x v="2"/>
    <n v="1"/>
    <n v="800"/>
    <n v="800"/>
    <n v="400"/>
    <n v="400"/>
    <x v="2"/>
    <x v="4"/>
  </r>
  <r>
    <x v="10"/>
    <x v="5"/>
    <x v="0"/>
    <x v="9"/>
    <x v="2"/>
    <x v="0"/>
    <n v="3"/>
    <n v="1200"/>
    <n v="3600"/>
    <n v="2400"/>
    <n v="1200"/>
    <x v="2"/>
    <x v="2"/>
  </r>
  <r>
    <x v="11"/>
    <x v="10"/>
    <x v="0"/>
    <x v="10"/>
    <x v="1"/>
    <x v="1"/>
    <n v="2"/>
    <n v="4000"/>
    <n v="8000"/>
    <n v="6000"/>
    <n v="2000"/>
    <x v="2"/>
    <x v="0"/>
  </r>
  <r>
    <x v="12"/>
    <x v="11"/>
    <x v="0"/>
    <x v="11"/>
    <x v="3"/>
    <x v="1"/>
    <n v="4"/>
    <n v="1800"/>
    <n v="7200"/>
    <n v="4800"/>
    <n v="2400"/>
    <x v="1"/>
    <x v="0"/>
  </r>
  <r>
    <x v="13"/>
    <x v="2"/>
    <x v="0"/>
    <x v="12"/>
    <x v="0"/>
    <x v="0"/>
    <n v="4"/>
    <n v="2500"/>
    <n v="10000"/>
    <n v="7200"/>
    <n v="2800"/>
    <x v="1"/>
    <x v="4"/>
  </r>
  <r>
    <x v="14"/>
    <x v="12"/>
    <x v="0"/>
    <x v="13"/>
    <x v="3"/>
    <x v="1"/>
    <n v="3"/>
    <n v="1800"/>
    <n v="5400"/>
    <n v="3600"/>
    <n v="1800"/>
    <x v="2"/>
    <x v="2"/>
  </r>
  <r>
    <x v="15"/>
    <x v="6"/>
    <x v="0"/>
    <x v="14"/>
    <x v="2"/>
    <x v="0"/>
    <n v="2"/>
    <n v="1200"/>
    <n v="2400"/>
    <n v="1600"/>
    <n v="800"/>
    <x v="0"/>
    <x v="4"/>
  </r>
  <r>
    <x v="16"/>
    <x v="13"/>
    <x v="0"/>
    <x v="15"/>
    <x v="1"/>
    <x v="1"/>
    <n v="1"/>
    <n v="4000"/>
    <n v="4000"/>
    <n v="3000"/>
    <n v="1000"/>
    <x v="0"/>
    <x v="1"/>
  </r>
  <r>
    <x v="17"/>
    <x v="14"/>
    <x v="0"/>
    <x v="16"/>
    <x v="3"/>
    <x v="1"/>
    <n v="4"/>
    <n v="1800"/>
    <n v="7200"/>
    <n v="4800"/>
    <n v="2400"/>
    <x v="1"/>
    <x v="2"/>
  </r>
  <r>
    <x v="18"/>
    <x v="15"/>
    <x v="0"/>
    <x v="17"/>
    <x v="0"/>
    <x v="0"/>
    <n v="1"/>
    <n v="2500"/>
    <n v="2500"/>
    <n v="1800"/>
    <n v="700"/>
    <x v="2"/>
    <x v="2"/>
  </r>
  <r>
    <x v="19"/>
    <x v="6"/>
    <x v="0"/>
    <x v="18"/>
    <x v="0"/>
    <x v="0"/>
    <n v="4"/>
    <n v="2500"/>
    <n v="10000"/>
    <n v="7200"/>
    <n v="2800"/>
    <x v="2"/>
    <x v="4"/>
  </r>
  <r>
    <x v="20"/>
    <x v="16"/>
    <x v="0"/>
    <x v="19"/>
    <x v="1"/>
    <x v="1"/>
    <n v="3"/>
    <n v="4000"/>
    <n v="12000"/>
    <n v="9000"/>
    <n v="3000"/>
    <x v="2"/>
    <x v="1"/>
  </r>
  <r>
    <x v="21"/>
    <x v="1"/>
    <x v="0"/>
    <x v="11"/>
    <x v="2"/>
    <x v="0"/>
    <n v="4"/>
    <n v="1200"/>
    <n v="4800"/>
    <n v="3200"/>
    <n v="1600"/>
    <x v="2"/>
    <x v="2"/>
  </r>
  <r>
    <x v="22"/>
    <x v="2"/>
    <x v="0"/>
    <x v="20"/>
    <x v="0"/>
    <x v="0"/>
    <n v="2"/>
    <n v="2500"/>
    <n v="5000"/>
    <n v="3600"/>
    <n v="1400"/>
    <x v="0"/>
    <x v="4"/>
  </r>
  <r>
    <x v="23"/>
    <x v="6"/>
    <x v="0"/>
    <x v="21"/>
    <x v="3"/>
    <x v="1"/>
    <n v="2"/>
    <n v="1800"/>
    <n v="3600"/>
    <n v="2400"/>
    <n v="1200"/>
    <x v="0"/>
    <x v="4"/>
  </r>
  <r>
    <x v="24"/>
    <x v="4"/>
    <x v="0"/>
    <x v="22"/>
    <x v="1"/>
    <x v="1"/>
    <n v="3"/>
    <n v="4000"/>
    <n v="12000"/>
    <n v="9000"/>
    <n v="3000"/>
    <x v="2"/>
    <x v="2"/>
  </r>
  <r>
    <x v="25"/>
    <x v="17"/>
    <x v="0"/>
    <x v="23"/>
    <x v="3"/>
    <x v="1"/>
    <n v="3"/>
    <n v="1800"/>
    <n v="5400"/>
    <n v="3600"/>
    <n v="1800"/>
    <x v="1"/>
    <x v="3"/>
  </r>
  <r>
    <x v="26"/>
    <x v="18"/>
    <x v="0"/>
    <x v="24"/>
    <x v="4"/>
    <x v="2"/>
    <n v="2"/>
    <n v="800"/>
    <n v="1600"/>
    <n v="800"/>
    <n v="800"/>
    <x v="1"/>
    <x v="5"/>
  </r>
  <r>
    <x v="27"/>
    <x v="19"/>
    <x v="0"/>
    <x v="14"/>
    <x v="3"/>
    <x v="1"/>
    <n v="3"/>
    <n v="1800"/>
    <n v="5400"/>
    <n v="3600"/>
    <n v="1800"/>
    <x v="2"/>
    <x v="5"/>
  </r>
  <r>
    <x v="28"/>
    <x v="17"/>
    <x v="0"/>
    <x v="25"/>
    <x v="2"/>
    <x v="0"/>
    <n v="1"/>
    <n v="1200"/>
    <n v="1200"/>
    <n v="800"/>
    <n v="400"/>
    <x v="0"/>
    <x v="3"/>
  </r>
  <r>
    <x v="29"/>
    <x v="1"/>
    <x v="0"/>
    <x v="26"/>
    <x v="5"/>
    <x v="0"/>
    <n v="1"/>
    <n v="3000"/>
    <n v="3000"/>
    <n v="2200"/>
    <n v="800"/>
    <x v="1"/>
    <x v="4"/>
  </r>
  <r>
    <x v="30"/>
    <x v="9"/>
    <x v="0"/>
    <x v="27"/>
    <x v="5"/>
    <x v="0"/>
    <n v="1"/>
    <n v="3000"/>
    <n v="3000"/>
    <n v="2200"/>
    <n v="800"/>
    <x v="0"/>
    <x v="2"/>
  </r>
  <r>
    <x v="31"/>
    <x v="14"/>
    <x v="0"/>
    <x v="28"/>
    <x v="0"/>
    <x v="0"/>
    <n v="3"/>
    <n v="2500"/>
    <n v="7500"/>
    <n v="5400"/>
    <n v="2100"/>
    <x v="0"/>
    <x v="0"/>
  </r>
  <r>
    <x v="32"/>
    <x v="13"/>
    <x v="0"/>
    <x v="29"/>
    <x v="4"/>
    <x v="2"/>
    <n v="3"/>
    <n v="800"/>
    <n v="2400"/>
    <n v="1200"/>
    <n v="1200"/>
    <x v="1"/>
    <x v="5"/>
  </r>
  <r>
    <x v="33"/>
    <x v="20"/>
    <x v="0"/>
    <x v="30"/>
    <x v="5"/>
    <x v="0"/>
    <n v="4"/>
    <n v="3000"/>
    <n v="12000"/>
    <n v="8800"/>
    <n v="3200"/>
    <x v="1"/>
    <x v="4"/>
  </r>
  <r>
    <x v="34"/>
    <x v="5"/>
    <x v="0"/>
    <x v="31"/>
    <x v="2"/>
    <x v="0"/>
    <n v="3"/>
    <n v="1200"/>
    <n v="3600"/>
    <n v="2400"/>
    <n v="1200"/>
    <x v="2"/>
    <x v="3"/>
  </r>
  <r>
    <x v="35"/>
    <x v="21"/>
    <x v="0"/>
    <x v="4"/>
    <x v="3"/>
    <x v="1"/>
    <n v="4"/>
    <n v="1800"/>
    <n v="7200"/>
    <n v="4800"/>
    <n v="2400"/>
    <x v="1"/>
    <x v="5"/>
  </r>
  <r>
    <x v="36"/>
    <x v="19"/>
    <x v="0"/>
    <x v="9"/>
    <x v="1"/>
    <x v="1"/>
    <n v="2"/>
    <n v="4000"/>
    <n v="8000"/>
    <n v="6000"/>
    <n v="2000"/>
    <x v="1"/>
    <x v="0"/>
  </r>
  <r>
    <x v="37"/>
    <x v="18"/>
    <x v="0"/>
    <x v="32"/>
    <x v="4"/>
    <x v="2"/>
    <n v="4"/>
    <n v="800"/>
    <n v="3200"/>
    <n v="1600"/>
    <n v="1600"/>
    <x v="1"/>
    <x v="1"/>
  </r>
  <r>
    <x v="38"/>
    <x v="22"/>
    <x v="0"/>
    <x v="33"/>
    <x v="4"/>
    <x v="2"/>
    <n v="4"/>
    <n v="800"/>
    <n v="3200"/>
    <n v="1600"/>
    <n v="1600"/>
    <x v="2"/>
    <x v="5"/>
  </r>
  <r>
    <x v="39"/>
    <x v="16"/>
    <x v="0"/>
    <x v="8"/>
    <x v="1"/>
    <x v="1"/>
    <n v="3"/>
    <n v="4000"/>
    <n v="12000"/>
    <n v="9000"/>
    <n v="3000"/>
    <x v="0"/>
    <x v="5"/>
  </r>
  <r>
    <x v="40"/>
    <x v="23"/>
    <x v="0"/>
    <x v="34"/>
    <x v="4"/>
    <x v="2"/>
    <n v="3"/>
    <n v="800"/>
    <n v="2400"/>
    <n v="1200"/>
    <n v="1200"/>
    <x v="1"/>
    <x v="4"/>
  </r>
  <r>
    <x v="41"/>
    <x v="10"/>
    <x v="0"/>
    <x v="35"/>
    <x v="2"/>
    <x v="0"/>
    <n v="1"/>
    <n v="1200"/>
    <n v="1200"/>
    <n v="800"/>
    <n v="400"/>
    <x v="0"/>
    <x v="1"/>
  </r>
  <r>
    <x v="42"/>
    <x v="11"/>
    <x v="0"/>
    <x v="36"/>
    <x v="0"/>
    <x v="0"/>
    <n v="4"/>
    <n v="2500"/>
    <n v="10000"/>
    <n v="7200"/>
    <n v="2800"/>
    <x v="1"/>
    <x v="5"/>
  </r>
  <r>
    <x v="43"/>
    <x v="11"/>
    <x v="0"/>
    <x v="37"/>
    <x v="3"/>
    <x v="1"/>
    <n v="1"/>
    <n v="1800"/>
    <n v="1800"/>
    <n v="1200"/>
    <n v="600"/>
    <x v="1"/>
    <x v="2"/>
  </r>
  <r>
    <x v="44"/>
    <x v="21"/>
    <x v="0"/>
    <x v="38"/>
    <x v="1"/>
    <x v="1"/>
    <n v="2"/>
    <n v="4000"/>
    <n v="8000"/>
    <n v="6000"/>
    <n v="2000"/>
    <x v="2"/>
    <x v="2"/>
  </r>
  <r>
    <x v="45"/>
    <x v="24"/>
    <x v="0"/>
    <x v="17"/>
    <x v="3"/>
    <x v="1"/>
    <n v="1"/>
    <n v="1800"/>
    <n v="1800"/>
    <n v="1200"/>
    <n v="600"/>
    <x v="0"/>
    <x v="5"/>
  </r>
  <r>
    <x v="46"/>
    <x v="11"/>
    <x v="0"/>
    <x v="39"/>
    <x v="0"/>
    <x v="0"/>
    <n v="4"/>
    <n v="2500"/>
    <n v="10000"/>
    <n v="7200"/>
    <n v="2800"/>
    <x v="0"/>
    <x v="5"/>
  </r>
  <r>
    <x v="47"/>
    <x v="10"/>
    <x v="0"/>
    <x v="40"/>
    <x v="4"/>
    <x v="2"/>
    <n v="4"/>
    <n v="800"/>
    <n v="3200"/>
    <n v="1600"/>
    <n v="1600"/>
    <x v="0"/>
    <x v="5"/>
  </r>
  <r>
    <x v="48"/>
    <x v="5"/>
    <x v="0"/>
    <x v="10"/>
    <x v="5"/>
    <x v="0"/>
    <n v="4"/>
    <n v="3000"/>
    <n v="12000"/>
    <n v="8800"/>
    <n v="3200"/>
    <x v="1"/>
    <x v="3"/>
  </r>
  <r>
    <x v="49"/>
    <x v="1"/>
    <x v="0"/>
    <x v="41"/>
    <x v="0"/>
    <x v="0"/>
    <n v="3"/>
    <n v="2500"/>
    <n v="7500"/>
    <n v="5400"/>
    <n v="2100"/>
    <x v="1"/>
    <x v="4"/>
  </r>
  <r>
    <x v="50"/>
    <x v="0"/>
    <x v="0"/>
    <x v="42"/>
    <x v="1"/>
    <x v="1"/>
    <n v="2"/>
    <n v="4000"/>
    <n v="8000"/>
    <n v="6000"/>
    <n v="2000"/>
    <x v="1"/>
    <x v="0"/>
  </r>
  <r>
    <x v="51"/>
    <x v="8"/>
    <x v="0"/>
    <x v="43"/>
    <x v="3"/>
    <x v="1"/>
    <n v="3"/>
    <n v="1800"/>
    <n v="5400"/>
    <n v="3600"/>
    <n v="1800"/>
    <x v="2"/>
    <x v="2"/>
  </r>
  <r>
    <x v="52"/>
    <x v="12"/>
    <x v="0"/>
    <x v="9"/>
    <x v="1"/>
    <x v="1"/>
    <n v="2"/>
    <n v="4000"/>
    <n v="8000"/>
    <n v="6000"/>
    <n v="2000"/>
    <x v="1"/>
    <x v="5"/>
  </r>
  <r>
    <x v="53"/>
    <x v="9"/>
    <x v="0"/>
    <x v="44"/>
    <x v="0"/>
    <x v="0"/>
    <n v="2"/>
    <n v="2500"/>
    <n v="5000"/>
    <n v="3600"/>
    <n v="1400"/>
    <x v="2"/>
    <x v="3"/>
  </r>
  <r>
    <x v="54"/>
    <x v="25"/>
    <x v="0"/>
    <x v="40"/>
    <x v="5"/>
    <x v="0"/>
    <n v="3"/>
    <n v="3000"/>
    <n v="9000"/>
    <n v="6600"/>
    <n v="2400"/>
    <x v="0"/>
    <x v="4"/>
  </r>
  <r>
    <x v="55"/>
    <x v="26"/>
    <x v="0"/>
    <x v="45"/>
    <x v="5"/>
    <x v="0"/>
    <n v="3"/>
    <n v="3000"/>
    <n v="9000"/>
    <n v="6600"/>
    <n v="2400"/>
    <x v="1"/>
    <x v="2"/>
  </r>
  <r>
    <x v="56"/>
    <x v="23"/>
    <x v="0"/>
    <x v="24"/>
    <x v="4"/>
    <x v="2"/>
    <n v="4"/>
    <n v="800"/>
    <n v="3200"/>
    <n v="1600"/>
    <n v="1600"/>
    <x v="2"/>
    <x v="5"/>
  </r>
  <r>
    <x v="57"/>
    <x v="2"/>
    <x v="0"/>
    <x v="46"/>
    <x v="5"/>
    <x v="0"/>
    <n v="1"/>
    <n v="3000"/>
    <n v="3000"/>
    <n v="2200"/>
    <n v="800"/>
    <x v="0"/>
    <x v="3"/>
  </r>
  <r>
    <x v="58"/>
    <x v="26"/>
    <x v="0"/>
    <x v="47"/>
    <x v="0"/>
    <x v="0"/>
    <n v="3"/>
    <n v="2500"/>
    <n v="7500"/>
    <n v="5400"/>
    <n v="2100"/>
    <x v="2"/>
    <x v="0"/>
  </r>
  <r>
    <x v="59"/>
    <x v="11"/>
    <x v="0"/>
    <x v="48"/>
    <x v="2"/>
    <x v="0"/>
    <n v="2"/>
    <n v="1200"/>
    <n v="2400"/>
    <n v="1600"/>
    <n v="800"/>
    <x v="0"/>
    <x v="4"/>
  </r>
  <r>
    <x v="60"/>
    <x v="17"/>
    <x v="0"/>
    <x v="49"/>
    <x v="5"/>
    <x v="0"/>
    <n v="1"/>
    <n v="3000"/>
    <n v="3000"/>
    <n v="2200"/>
    <n v="800"/>
    <x v="0"/>
    <x v="5"/>
  </r>
  <r>
    <x v="61"/>
    <x v="4"/>
    <x v="0"/>
    <x v="47"/>
    <x v="2"/>
    <x v="0"/>
    <n v="3"/>
    <n v="1200"/>
    <n v="3600"/>
    <n v="2400"/>
    <n v="1200"/>
    <x v="2"/>
    <x v="5"/>
  </r>
  <r>
    <x v="62"/>
    <x v="26"/>
    <x v="0"/>
    <x v="50"/>
    <x v="2"/>
    <x v="0"/>
    <n v="4"/>
    <n v="1200"/>
    <n v="4800"/>
    <n v="3200"/>
    <n v="1600"/>
    <x v="1"/>
    <x v="3"/>
  </r>
  <r>
    <x v="63"/>
    <x v="9"/>
    <x v="0"/>
    <x v="51"/>
    <x v="0"/>
    <x v="0"/>
    <n v="4"/>
    <n v="2500"/>
    <n v="10000"/>
    <n v="7200"/>
    <n v="2800"/>
    <x v="0"/>
    <x v="3"/>
  </r>
  <r>
    <x v="64"/>
    <x v="9"/>
    <x v="0"/>
    <x v="52"/>
    <x v="4"/>
    <x v="2"/>
    <n v="2"/>
    <n v="800"/>
    <n v="1600"/>
    <n v="800"/>
    <n v="800"/>
    <x v="1"/>
    <x v="0"/>
  </r>
  <r>
    <x v="65"/>
    <x v="18"/>
    <x v="0"/>
    <x v="36"/>
    <x v="1"/>
    <x v="1"/>
    <n v="3"/>
    <n v="4000"/>
    <n v="12000"/>
    <n v="9000"/>
    <n v="3000"/>
    <x v="2"/>
    <x v="0"/>
  </r>
  <r>
    <x v="66"/>
    <x v="27"/>
    <x v="0"/>
    <x v="53"/>
    <x v="5"/>
    <x v="0"/>
    <n v="1"/>
    <n v="3000"/>
    <n v="3000"/>
    <n v="2200"/>
    <n v="800"/>
    <x v="0"/>
    <x v="5"/>
  </r>
  <r>
    <x v="67"/>
    <x v="1"/>
    <x v="0"/>
    <x v="54"/>
    <x v="2"/>
    <x v="0"/>
    <n v="1"/>
    <n v="1200"/>
    <n v="1200"/>
    <n v="800"/>
    <n v="400"/>
    <x v="0"/>
    <x v="1"/>
  </r>
  <r>
    <x v="68"/>
    <x v="17"/>
    <x v="0"/>
    <x v="55"/>
    <x v="3"/>
    <x v="1"/>
    <n v="3"/>
    <n v="1800"/>
    <n v="5400"/>
    <n v="3600"/>
    <n v="1800"/>
    <x v="0"/>
    <x v="0"/>
  </r>
  <r>
    <x v="69"/>
    <x v="8"/>
    <x v="0"/>
    <x v="56"/>
    <x v="2"/>
    <x v="0"/>
    <n v="1"/>
    <n v="1200"/>
    <n v="1200"/>
    <n v="800"/>
    <n v="400"/>
    <x v="2"/>
    <x v="0"/>
  </r>
  <r>
    <x v="70"/>
    <x v="27"/>
    <x v="0"/>
    <x v="57"/>
    <x v="2"/>
    <x v="0"/>
    <n v="3"/>
    <n v="1200"/>
    <n v="3600"/>
    <n v="2400"/>
    <n v="1200"/>
    <x v="2"/>
    <x v="2"/>
  </r>
  <r>
    <x v="71"/>
    <x v="16"/>
    <x v="0"/>
    <x v="58"/>
    <x v="4"/>
    <x v="2"/>
    <n v="4"/>
    <n v="800"/>
    <n v="3200"/>
    <n v="1600"/>
    <n v="1600"/>
    <x v="0"/>
    <x v="3"/>
  </r>
  <r>
    <x v="72"/>
    <x v="10"/>
    <x v="0"/>
    <x v="17"/>
    <x v="3"/>
    <x v="1"/>
    <n v="2"/>
    <n v="1800"/>
    <n v="3600"/>
    <n v="2400"/>
    <n v="1200"/>
    <x v="1"/>
    <x v="4"/>
  </r>
  <r>
    <x v="73"/>
    <x v="12"/>
    <x v="0"/>
    <x v="59"/>
    <x v="2"/>
    <x v="0"/>
    <n v="3"/>
    <n v="1200"/>
    <n v="3600"/>
    <n v="2400"/>
    <n v="1200"/>
    <x v="0"/>
    <x v="5"/>
  </r>
  <r>
    <x v="74"/>
    <x v="22"/>
    <x v="0"/>
    <x v="60"/>
    <x v="4"/>
    <x v="2"/>
    <n v="3"/>
    <n v="800"/>
    <n v="2400"/>
    <n v="1200"/>
    <n v="1200"/>
    <x v="0"/>
    <x v="5"/>
  </r>
  <r>
    <x v="75"/>
    <x v="20"/>
    <x v="0"/>
    <x v="61"/>
    <x v="5"/>
    <x v="0"/>
    <n v="2"/>
    <n v="3000"/>
    <n v="6000"/>
    <n v="4400"/>
    <n v="1600"/>
    <x v="2"/>
    <x v="4"/>
  </r>
  <r>
    <x v="76"/>
    <x v="26"/>
    <x v="0"/>
    <x v="62"/>
    <x v="0"/>
    <x v="0"/>
    <n v="3"/>
    <n v="2500"/>
    <n v="7500"/>
    <n v="5400"/>
    <n v="2100"/>
    <x v="2"/>
    <x v="2"/>
  </r>
  <r>
    <x v="77"/>
    <x v="22"/>
    <x v="0"/>
    <x v="6"/>
    <x v="3"/>
    <x v="1"/>
    <n v="1"/>
    <n v="1800"/>
    <n v="1800"/>
    <n v="1200"/>
    <n v="600"/>
    <x v="1"/>
    <x v="3"/>
  </r>
  <r>
    <x v="78"/>
    <x v="0"/>
    <x v="0"/>
    <x v="19"/>
    <x v="1"/>
    <x v="1"/>
    <n v="1"/>
    <n v="4000"/>
    <n v="4000"/>
    <n v="3000"/>
    <n v="1000"/>
    <x v="1"/>
    <x v="1"/>
  </r>
  <r>
    <x v="79"/>
    <x v="14"/>
    <x v="0"/>
    <x v="25"/>
    <x v="2"/>
    <x v="0"/>
    <n v="1"/>
    <n v="1200"/>
    <n v="1200"/>
    <n v="800"/>
    <n v="400"/>
    <x v="0"/>
    <x v="4"/>
  </r>
  <r>
    <x v="80"/>
    <x v="28"/>
    <x v="0"/>
    <x v="11"/>
    <x v="1"/>
    <x v="1"/>
    <n v="4"/>
    <n v="4000"/>
    <n v="16000"/>
    <n v="12000"/>
    <n v="4000"/>
    <x v="1"/>
    <x v="5"/>
  </r>
  <r>
    <x v="81"/>
    <x v="12"/>
    <x v="0"/>
    <x v="63"/>
    <x v="3"/>
    <x v="1"/>
    <n v="3"/>
    <n v="1800"/>
    <n v="5400"/>
    <n v="3600"/>
    <n v="1800"/>
    <x v="2"/>
    <x v="3"/>
  </r>
  <r>
    <x v="82"/>
    <x v="23"/>
    <x v="0"/>
    <x v="50"/>
    <x v="0"/>
    <x v="0"/>
    <n v="2"/>
    <n v="2500"/>
    <n v="5000"/>
    <n v="3600"/>
    <n v="1400"/>
    <x v="0"/>
    <x v="4"/>
  </r>
  <r>
    <x v="83"/>
    <x v="23"/>
    <x v="0"/>
    <x v="49"/>
    <x v="2"/>
    <x v="0"/>
    <n v="3"/>
    <n v="1200"/>
    <n v="3600"/>
    <n v="2400"/>
    <n v="1200"/>
    <x v="1"/>
    <x v="3"/>
  </r>
  <r>
    <x v="84"/>
    <x v="15"/>
    <x v="0"/>
    <x v="56"/>
    <x v="3"/>
    <x v="1"/>
    <n v="1"/>
    <n v="1800"/>
    <n v="1800"/>
    <n v="1200"/>
    <n v="600"/>
    <x v="2"/>
    <x v="1"/>
  </r>
  <r>
    <x v="85"/>
    <x v="9"/>
    <x v="0"/>
    <x v="64"/>
    <x v="3"/>
    <x v="1"/>
    <n v="2"/>
    <n v="1800"/>
    <n v="3600"/>
    <n v="2400"/>
    <n v="1200"/>
    <x v="0"/>
    <x v="2"/>
  </r>
  <r>
    <x v="86"/>
    <x v="29"/>
    <x v="0"/>
    <x v="65"/>
    <x v="0"/>
    <x v="0"/>
    <n v="1"/>
    <n v="2500"/>
    <n v="2500"/>
    <n v="1800"/>
    <n v="700"/>
    <x v="2"/>
    <x v="3"/>
  </r>
  <r>
    <x v="87"/>
    <x v="16"/>
    <x v="0"/>
    <x v="66"/>
    <x v="5"/>
    <x v="0"/>
    <n v="1"/>
    <n v="3000"/>
    <n v="3000"/>
    <n v="2200"/>
    <n v="800"/>
    <x v="0"/>
    <x v="2"/>
  </r>
  <r>
    <x v="88"/>
    <x v="28"/>
    <x v="0"/>
    <x v="22"/>
    <x v="5"/>
    <x v="0"/>
    <n v="4"/>
    <n v="3000"/>
    <n v="12000"/>
    <n v="8800"/>
    <n v="3200"/>
    <x v="0"/>
    <x v="5"/>
  </r>
  <r>
    <x v="89"/>
    <x v="9"/>
    <x v="0"/>
    <x v="67"/>
    <x v="1"/>
    <x v="1"/>
    <n v="3"/>
    <n v="4000"/>
    <n v="12000"/>
    <n v="9000"/>
    <n v="3000"/>
    <x v="0"/>
    <x v="5"/>
  </r>
  <r>
    <x v="90"/>
    <x v="11"/>
    <x v="0"/>
    <x v="4"/>
    <x v="4"/>
    <x v="2"/>
    <n v="4"/>
    <n v="800"/>
    <n v="3200"/>
    <n v="1600"/>
    <n v="1600"/>
    <x v="1"/>
    <x v="1"/>
  </r>
  <r>
    <x v="91"/>
    <x v="11"/>
    <x v="0"/>
    <x v="68"/>
    <x v="5"/>
    <x v="0"/>
    <n v="2"/>
    <n v="3000"/>
    <n v="6000"/>
    <n v="4400"/>
    <n v="1600"/>
    <x v="1"/>
    <x v="4"/>
  </r>
  <r>
    <x v="92"/>
    <x v="11"/>
    <x v="0"/>
    <x v="69"/>
    <x v="5"/>
    <x v="0"/>
    <n v="4"/>
    <n v="3000"/>
    <n v="12000"/>
    <n v="8800"/>
    <n v="3200"/>
    <x v="1"/>
    <x v="2"/>
  </r>
  <r>
    <x v="93"/>
    <x v="13"/>
    <x v="0"/>
    <x v="70"/>
    <x v="2"/>
    <x v="0"/>
    <n v="2"/>
    <n v="1200"/>
    <n v="2400"/>
    <n v="1600"/>
    <n v="800"/>
    <x v="1"/>
    <x v="2"/>
  </r>
  <r>
    <x v="94"/>
    <x v="8"/>
    <x v="0"/>
    <x v="71"/>
    <x v="5"/>
    <x v="0"/>
    <n v="4"/>
    <n v="3000"/>
    <n v="12000"/>
    <n v="8800"/>
    <n v="3200"/>
    <x v="2"/>
    <x v="1"/>
  </r>
  <r>
    <x v="95"/>
    <x v="20"/>
    <x v="0"/>
    <x v="72"/>
    <x v="0"/>
    <x v="0"/>
    <n v="2"/>
    <n v="2500"/>
    <n v="5000"/>
    <n v="3600"/>
    <n v="1400"/>
    <x v="2"/>
    <x v="0"/>
  </r>
  <r>
    <x v="96"/>
    <x v="20"/>
    <x v="0"/>
    <x v="73"/>
    <x v="0"/>
    <x v="0"/>
    <n v="4"/>
    <n v="2500"/>
    <n v="10000"/>
    <n v="7200"/>
    <n v="2800"/>
    <x v="2"/>
    <x v="1"/>
  </r>
  <r>
    <x v="97"/>
    <x v="14"/>
    <x v="0"/>
    <x v="6"/>
    <x v="4"/>
    <x v="2"/>
    <n v="3"/>
    <n v="800"/>
    <n v="2400"/>
    <n v="1200"/>
    <n v="1200"/>
    <x v="1"/>
    <x v="5"/>
  </r>
  <r>
    <x v="98"/>
    <x v="9"/>
    <x v="0"/>
    <x v="63"/>
    <x v="3"/>
    <x v="1"/>
    <n v="3"/>
    <n v="1800"/>
    <n v="5400"/>
    <n v="3600"/>
    <n v="1800"/>
    <x v="1"/>
    <x v="4"/>
  </r>
  <r>
    <x v="99"/>
    <x v="28"/>
    <x v="0"/>
    <x v="19"/>
    <x v="5"/>
    <x v="0"/>
    <n v="3"/>
    <n v="3000"/>
    <n v="9000"/>
    <n v="6600"/>
    <n v="2400"/>
    <x v="0"/>
    <x v="3"/>
  </r>
  <r>
    <x v="100"/>
    <x v="25"/>
    <x v="0"/>
    <x v="48"/>
    <x v="4"/>
    <x v="2"/>
    <n v="4"/>
    <n v="800"/>
    <n v="3200"/>
    <n v="1600"/>
    <n v="1600"/>
    <x v="1"/>
    <x v="2"/>
  </r>
  <r>
    <x v="101"/>
    <x v="9"/>
    <x v="0"/>
    <x v="74"/>
    <x v="3"/>
    <x v="1"/>
    <n v="4"/>
    <n v="1800"/>
    <n v="7200"/>
    <n v="4800"/>
    <n v="2400"/>
    <x v="0"/>
    <x v="0"/>
  </r>
  <r>
    <x v="102"/>
    <x v="13"/>
    <x v="0"/>
    <x v="71"/>
    <x v="0"/>
    <x v="0"/>
    <n v="1"/>
    <n v="2500"/>
    <n v="2500"/>
    <n v="1800"/>
    <n v="700"/>
    <x v="0"/>
    <x v="1"/>
  </r>
  <r>
    <x v="103"/>
    <x v="24"/>
    <x v="0"/>
    <x v="63"/>
    <x v="4"/>
    <x v="2"/>
    <n v="3"/>
    <n v="800"/>
    <n v="2400"/>
    <n v="1200"/>
    <n v="1200"/>
    <x v="1"/>
    <x v="2"/>
  </r>
  <r>
    <x v="104"/>
    <x v="6"/>
    <x v="0"/>
    <x v="75"/>
    <x v="4"/>
    <x v="2"/>
    <n v="1"/>
    <n v="800"/>
    <n v="800"/>
    <n v="400"/>
    <n v="400"/>
    <x v="0"/>
    <x v="1"/>
  </r>
  <r>
    <x v="105"/>
    <x v="3"/>
    <x v="0"/>
    <x v="44"/>
    <x v="2"/>
    <x v="0"/>
    <n v="3"/>
    <n v="1200"/>
    <n v="3600"/>
    <n v="2400"/>
    <n v="1200"/>
    <x v="1"/>
    <x v="3"/>
  </r>
  <r>
    <x v="106"/>
    <x v="17"/>
    <x v="0"/>
    <x v="76"/>
    <x v="3"/>
    <x v="1"/>
    <n v="1"/>
    <n v="1800"/>
    <n v="1800"/>
    <n v="1200"/>
    <n v="600"/>
    <x v="1"/>
    <x v="0"/>
  </r>
  <r>
    <x v="107"/>
    <x v="9"/>
    <x v="0"/>
    <x v="44"/>
    <x v="1"/>
    <x v="1"/>
    <n v="4"/>
    <n v="4000"/>
    <n v="16000"/>
    <n v="12000"/>
    <n v="4000"/>
    <x v="0"/>
    <x v="0"/>
  </r>
  <r>
    <x v="108"/>
    <x v="27"/>
    <x v="0"/>
    <x v="0"/>
    <x v="0"/>
    <x v="0"/>
    <n v="4"/>
    <n v="2500"/>
    <n v="10000"/>
    <n v="7200"/>
    <n v="2800"/>
    <x v="0"/>
    <x v="2"/>
  </r>
  <r>
    <x v="109"/>
    <x v="8"/>
    <x v="0"/>
    <x v="0"/>
    <x v="3"/>
    <x v="1"/>
    <n v="4"/>
    <n v="1800"/>
    <n v="7200"/>
    <n v="4800"/>
    <n v="2400"/>
    <x v="2"/>
    <x v="4"/>
  </r>
  <r>
    <x v="110"/>
    <x v="24"/>
    <x v="0"/>
    <x v="52"/>
    <x v="5"/>
    <x v="0"/>
    <n v="2"/>
    <n v="3000"/>
    <n v="6000"/>
    <n v="4400"/>
    <n v="1600"/>
    <x v="2"/>
    <x v="5"/>
  </r>
  <r>
    <x v="111"/>
    <x v="11"/>
    <x v="0"/>
    <x v="4"/>
    <x v="0"/>
    <x v="0"/>
    <n v="4"/>
    <n v="2500"/>
    <n v="10000"/>
    <n v="7200"/>
    <n v="2800"/>
    <x v="1"/>
    <x v="1"/>
  </r>
  <r>
    <x v="112"/>
    <x v="21"/>
    <x v="0"/>
    <x v="67"/>
    <x v="3"/>
    <x v="1"/>
    <n v="2"/>
    <n v="1800"/>
    <n v="3600"/>
    <n v="2400"/>
    <n v="1200"/>
    <x v="1"/>
    <x v="3"/>
  </r>
  <r>
    <x v="113"/>
    <x v="18"/>
    <x v="0"/>
    <x v="17"/>
    <x v="5"/>
    <x v="0"/>
    <n v="2"/>
    <n v="3000"/>
    <n v="6000"/>
    <n v="4400"/>
    <n v="1600"/>
    <x v="0"/>
    <x v="4"/>
  </r>
  <r>
    <x v="114"/>
    <x v="21"/>
    <x v="0"/>
    <x v="71"/>
    <x v="3"/>
    <x v="1"/>
    <n v="3"/>
    <n v="1800"/>
    <n v="5400"/>
    <n v="3600"/>
    <n v="1800"/>
    <x v="0"/>
    <x v="3"/>
  </r>
  <r>
    <x v="115"/>
    <x v="13"/>
    <x v="0"/>
    <x v="30"/>
    <x v="3"/>
    <x v="1"/>
    <n v="3"/>
    <n v="1800"/>
    <n v="5400"/>
    <n v="3600"/>
    <n v="1800"/>
    <x v="1"/>
    <x v="3"/>
  </r>
  <r>
    <x v="116"/>
    <x v="27"/>
    <x v="0"/>
    <x v="10"/>
    <x v="3"/>
    <x v="1"/>
    <n v="4"/>
    <n v="1800"/>
    <n v="7200"/>
    <n v="4800"/>
    <n v="2400"/>
    <x v="1"/>
    <x v="5"/>
  </r>
  <r>
    <x v="117"/>
    <x v="18"/>
    <x v="0"/>
    <x v="45"/>
    <x v="2"/>
    <x v="0"/>
    <n v="1"/>
    <n v="1200"/>
    <n v="1200"/>
    <n v="800"/>
    <n v="400"/>
    <x v="2"/>
    <x v="1"/>
  </r>
  <r>
    <x v="118"/>
    <x v="12"/>
    <x v="0"/>
    <x v="40"/>
    <x v="4"/>
    <x v="2"/>
    <n v="2"/>
    <n v="800"/>
    <n v="1600"/>
    <n v="800"/>
    <n v="800"/>
    <x v="0"/>
    <x v="2"/>
  </r>
  <r>
    <x v="119"/>
    <x v="6"/>
    <x v="0"/>
    <x v="42"/>
    <x v="5"/>
    <x v="0"/>
    <n v="4"/>
    <n v="3000"/>
    <n v="12000"/>
    <n v="8800"/>
    <n v="3200"/>
    <x v="0"/>
    <x v="2"/>
  </r>
  <r>
    <x v="120"/>
    <x v="26"/>
    <x v="0"/>
    <x v="13"/>
    <x v="5"/>
    <x v="0"/>
    <n v="1"/>
    <n v="3000"/>
    <n v="3000"/>
    <n v="2200"/>
    <n v="800"/>
    <x v="2"/>
    <x v="0"/>
  </r>
  <r>
    <x v="121"/>
    <x v="18"/>
    <x v="0"/>
    <x v="69"/>
    <x v="5"/>
    <x v="0"/>
    <n v="3"/>
    <n v="3000"/>
    <n v="9000"/>
    <n v="6600"/>
    <n v="2400"/>
    <x v="0"/>
    <x v="1"/>
  </r>
  <r>
    <x v="122"/>
    <x v="26"/>
    <x v="0"/>
    <x v="77"/>
    <x v="4"/>
    <x v="2"/>
    <n v="4"/>
    <n v="800"/>
    <n v="3200"/>
    <n v="1600"/>
    <n v="1600"/>
    <x v="0"/>
    <x v="0"/>
  </r>
  <r>
    <x v="123"/>
    <x v="0"/>
    <x v="0"/>
    <x v="78"/>
    <x v="0"/>
    <x v="0"/>
    <n v="1"/>
    <n v="2500"/>
    <n v="2500"/>
    <n v="1800"/>
    <n v="700"/>
    <x v="2"/>
    <x v="1"/>
  </r>
  <r>
    <x v="124"/>
    <x v="8"/>
    <x v="0"/>
    <x v="79"/>
    <x v="4"/>
    <x v="2"/>
    <n v="2"/>
    <n v="800"/>
    <n v="1600"/>
    <n v="800"/>
    <n v="800"/>
    <x v="2"/>
    <x v="2"/>
  </r>
  <r>
    <x v="125"/>
    <x v="29"/>
    <x v="0"/>
    <x v="16"/>
    <x v="1"/>
    <x v="1"/>
    <n v="3"/>
    <n v="4000"/>
    <n v="12000"/>
    <n v="9000"/>
    <n v="3000"/>
    <x v="0"/>
    <x v="2"/>
  </r>
  <r>
    <x v="126"/>
    <x v="7"/>
    <x v="0"/>
    <x v="33"/>
    <x v="4"/>
    <x v="2"/>
    <n v="2"/>
    <n v="800"/>
    <n v="1600"/>
    <n v="800"/>
    <n v="800"/>
    <x v="1"/>
    <x v="1"/>
  </r>
  <r>
    <x v="127"/>
    <x v="24"/>
    <x v="0"/>
    <x v="80"/>
    <x v="1"/>
    <x v="1"/>
    <n v="4"/>
    <n v="4000"/>
    <n v="16000"/>
    <n v="12000"/>
    <n v="4000"/>
    <x v="2"/>
    <x v="2"/>
  </r>
  <r>
    <x v="128"/>
    <x v="13"/>
    <x v="0"/>
    <x v="52"/>
    <x v="4"/>
    <x v="2"/>
    <n v="1"/>
    <n v="800"/>
    <n v="800"/>
    <n v="400"/>
    <n v="400"/>
    <x v="1"/>
    <x v="1"/>
  </r>
  <r>
    <x v="129"/>
    <x v="14"/>
    <x v="0"/>
    <x v="4"/>
    <x v="4"/>
    <x v="2"/>
    <n v="3"/>
    <n v="800"/>
    <n v="2400"/>
    <n v="1200"/>
    <n v="1200"/>
    <x v="0"/>
    <x v="1"/>
  </r>
  <r>
    <x v="130"/>
    <x v="14"/>
    <x v="0"/>
    <x v="81"/>
    <x v="4"/>
    <x v="2"/>
    <n v="2"/>
    <n v="800"/>
    <n v="1600"/>
    <n v="800"/>
    <n v="800"/>
    <x v="0"/>
    <x v="4"/>
  </r>
  <r>
    <x v="131"/>
    <x v="21"/>
    <x v="0"/>
    <x v="81"/>
    <x v="0"/>
    <x v="0"/>
    <n v="1"/>
    <n v="2500"/>
    <n v="2500"/>
    <n v="1800"/>
    <n v="700"/>
    <x v="2"/>
    <x v="5"/>
  </r>
  <r>
    <x v="132"/>
    <x v="1"/>
    <x v="0"/>
    <x v="82"/>
    <x v="5"/>
    <x v="0"/>
    <n v="3"/>
    <n v="3000"/>
    <n v="9000"/>
    <n v="6600"/>
    <n v="2400"/>
    <x v="0"/>
    <x v="1"/>
  </r>
  <r>
    <x v="133"/>
    <x v="23"/>
    <x v="0"/>
    <x v="79"/>
    <x v="3"/>
    <x v="1"/>
    <n v="3"/>
    <n v="1800"/>
    <n v="5400"/>
    <n v="3600"/>
    <n v="1800"/>
    <x v="0"/>
    <x v="0"/>
  </r>
  <r>
    <x v="134"/>
    <x v="6"/>
    <x v="0"/>
    <x v="15"/>
    <x v="0"/>
    <x v="0"/>
    <n v="4"/>
    <n v="2500"/>
    <n v="10000"/>
    <n v="7200"/>
    <n v="2800"/>
    <x v="0"/>
    <x v="2"/>
  </r>
  <r>
    <x v="135"/>
    <x v="12"/>
    <x v="0"/>
    <x v="58"/>
    <x v="2"/>
    <x v="0"/>
    <n v="4"/>
    <n v="1200"/>
    <n v="4800"/>
    <n v="3200"/>
    <n v="1600"/>
    <x v="1"/>
    <x v="1"/>
  </r>
  <r>
    <x v="136"/>
    <x v="9"/>
    <x v="0"/>
    <x v="40"/>
    <x v="1"/>
    <x v="1"/>
    <n v="1"/>
    <n v="4000"/>
    <n v="4000"/>
    <n v="3000"/>
    <n v="1000"/>
    <x v="2"/>
    <x v="3"/>
  </r>
  <r>
    <x v="137"/>
    <x v="24"/>
    <x v="0"/>
    <x v="78"/>
    <x v="4"/>
    <x v="2"/>
    <n v="1"/>
    <n v="800"/>
    <n v="800"/>
    <n v="400"/>
    <n v="400"/>
    <x v="2"/>
    <x v="4"/>
  </r>
  <r>
    <x v="138"/>
    <x v="27"/>
    <x v="0"/>
    <x v="33"/>
    <x v="3"/>
    <x v="1"/>
    <n v="3"/>
    <n v="1800"/>
    <n v="5400"/>
    <n v="3600"/>
    <n v="1800"/>
    <x v="1"/>
    <x v="3"/>
  </r>
  <r>
    <x v="139"/>
    <x v="12"/>
    <x v="0"/>
    <x v="46"/>
    <x v="5"/>
    <x v="0"/>
    <n v="3"/>
    <n v="3000"/>
    <n v="9000"/>
    <n v="6600"/>
    <n v="2400"/>
    <x v="2"/>
    <x v="2"/>
  </r>
  <r>
    <x v="140"/>
    <x v="17"/>
    <x v="0"/>
    <x v="63"/>
    <x v="4"/>
    <x v="2"/>
    <n v="3"/>
    <n v="800"/>
    <n v="2400"/>
    <n v="1200"/>
    <n v="1200"/>
    <x v="2"/>
    <x v="1"/>
  </r>
  <r>
    <x v="141"/>
    <x v="10"/>
    <x v="0"/>
    <x v="53"/>
    <x v="2"/>
    <x v="0"/>
    <n v="2"/>
    <n v="1200"/>
    <n v="2400"/>
    <n v="1600"/>
    <n v="800"/>
    <x v="2"/>
    <x v="1"/>
  </r>
  <r>
    <x v="142"/>
    <x v="7"/>
    <x v="0"/>
    <x v="47"/>
    <x v="3"/>
    <x v="1"/>
    <n v="3"/>
    <n v="1800"/>
    <n v="5400"/>
    <n v="3600"/>
    <n v="1800"/>
    <x v="2"/>
    <x v="3"/>
  </r>
  <r>
    <x v="143"/>
    <x v="9"/>
    <x v="0"/>
    <x v="83"/>
    <x v="1"/>
    <x v="1"/>
    <n v="4"/>
    <n v="4000"/>
    <n v="16000"/>
    <n v="12000"/>
    <n v="4000"/>
    <x v="0"/>
    <x v="2"/>
  </r>
  <r>
    <x v="144"/>
    <x v="0"/>
    <x v="0"/>
    <x v="47"/>
    <x v="5"/>
    <x v="0"/>
    <n v="2"/>
    <n v="3000"/>
    <n v="6000"/>
    <n v="4400"/>
    <n v="1600"/>
    <x v="2"/>
    <x v="3"/>
  </r>
  <r>
    <x v="145"/>
    <x v="28"/>
    <x v="0"/>
    <x v="84"/>
    <x v="4"/>
    <x v="2"/>
    <n v="1"/>
    <n v="800"/>
    <n v="800"/>
    <n v="400"/>
    <n v="400"/>
    <x v="2"/>
    <x v="0"/>
  </r>
  <r>
    <x v="146"/>
    <x v="8"/>
    <x v="0"/>
    <x v="85"/>
    <x v="5"/>
    <x v="0"/>
    <n v="4"/>
    <n v="3000"/>
    <n v="12000"/>
    <n v="8800"/>
    <n v="3200"/>
    <x v="1"/>
    <x v="4"/>
  </r>
  <r>
    <x v="147"/>
    <x v="14"/>
    <x v="0"/>
    <x v="31"/>
    <x v="0"/>
    <x v="0"/>
    <n v="1"/>
    <n v="2500"/>
    <n v="2500"/>
    <n v="1800"/>
    <n v="700"/>
    <x v="1"/>
    <x v="2"/>
  </r>
  <r>
    <x v="148"/>
    <x v="25"/>
    <x v="0"/>
    <x v="67"/>
    <x v="1"/>
    <x v="1"/>
    <n v="2"/>
    <n v="4000"/>
    <n v="8000"/>
    <n v="6000"/>
    <n v="2000"/>
    <x v="0"/>
    <x v="2"/>
  </r>
  <r>
    <x v="149"/>
    <x v="15"/>
    <x v="0"/>
    <x v="86"/>
    <x v="0"/>
    <x v="0"/>
    <n v="2"/>
    <n v="2500"/>
    <n v="5000"/>
    <n v="3600"/>
    <n v="1400"/>
    <x v="2"/>
    <x v="0"/>
  </r>
  <r>
    <x v="150"/>
    <x v="15"/>
    <x v="0"/>
    <x v="69"/>
    <x v="5"/>
    <x v="0"/>
    <n v="3"/>
    <n v="3000"/>
    <n v="9000"/>
    <n v="6600"/>
    <n v="2400"/>
    <x v="1"/>
    <x v="5"/>
  </r>
  <r>
    <x v="151"/>
    <x v="29"/>
    <x v="0"/>
    <x v="71"/>
    <x v="4"/>
    <x v="2"/>
    <n v="2"/>
    <n v="800"/>
    <n v="1600"/>
    <n v="800"/>
    <n v="800"/>
    <x v="0"/>
    <x v="5"/>
  </r>
  <r>
    <x v="152"/>
    <x v="24"/>
    <x v="0"/>
    <x v="87"/>
    <x v="2"/>
    <x v="0"/>
    <n v="2"/>
    <n v="1200"/>
    <n v="2400"/>
    <n v="1600"/>
    <n v="800"/>
    <x v="0"/>
    <x v="5"/>
  </r>
  <r>
    <x v="153"/>
    <x v="19"/>
    <x v="0"/>
    <x v="88"/>
    <x v="0"/>
    <x v="0"/>
    <n v="1"/>
    <n v="2500"/>
    <n v="2500"/>
    <n v="1800"/>
    <n v="700"/>
    <x v="2"/>
    <x v="5"/>
  </r>
  <r>
    <x v="154"/>
    <x v="13"/>
    <x v="0"/>
    <x v="82"/>
    <x v="0"/>
    <x v="0"/>
    <n v="1"/>
    <n v="2500"/>
    <n v="2500"/>
    <n v="1800"/>
    <n v="700"/>
    <x v="2"/>
    <x v="1"/>
  </r>
  <r>
    <x v="155"/>
    <x v="20"/>
    <x v="0"/>
    <x v="89"/>
    <x v="3"/>
    <x v="1"/>
    <n v="4"/>
    <n v="1800"/>
    <n v="7200"/>
    <n v="4800"/>
    <n v="2400"/>
    <x v="0"/>
    <x v="5"/>
  </r>
  <r>
    <x v="156"/>
    <x v="26"/>
    <x v="0"/>
    <x v="6"/>
    <x v="3"/>
    <x v="1"/>
    <n v="2"/>
    <n v="1800"/>
    <n v="3600"/>
    <n v="2400"/>
    <n v="1200"/>
    <x v="0"/>
    <x v="3"/>
  </r>
  <r>
    <x v="157"/>
    <x v="24"/>
    <x v="0"/>
    <x v="59"/>
    <x v="1"/>
    <x v="1"/>
    <n v="4"/>
    <n v="4000"/>
    <n v="16000"/>
    <n v="12000"/>
    <n v="4000"/>
    <x v="1"/>
    <x v="3"/>
  </r>
  <r>
    <x v="158"/>
    <x v="17"/>
    <x v="0"/>
    <x v="19"/>
    <x v="0"/>
    <x v="0"/>
    <n v="3"/>
    <n v="2500"/>
    <n v="7500"/>
    <n v="5400"/>
    <n v="2100"/>
    <x v="2"/>
    <x v="0"/>
  </r>
  <r>
    <x v="159"/>
    <x v="29"/>
    <x v="0"/>
    <x v="67"/>
    <x v="0"/>
    <x v="0"/>
    <n v="4"/>
    <n v="2500"/>
    <n v="10000"/>
    <n v="7200"/>
    <n v="2800"/>
    <x v="0"/>
    <x v="0"/>
  </r>
  <r>
    <x v="160"/>
    <x v="8"/>
    <x v="0"/>
    <x v="34"/>
    <x v="3"/>
    <x v="1"/>
    <n v="1"/>
    <n v="1800"/>
    <n v="1800"/>
    <n v="1200"/>
    <n v="600"/>
    <x v="1"/>
    <x v="5"/>
  </r>
  <r>
    <x v="161"/>
    <x v="28"/>
    <x v="0"/>
    <x v="83"/>
    <x v="2"/>
    <x v="0"/>
    <n v="1"/>
    <n v="1200"/>
    <n v="1200"/>
    <n v="800"/>
    <n v="400"/>
    <x v="0"/>
    <x v="0"/>
  </r>
  <r>
    <x v="162"/>
    <x v="8"/>
    <x v="0"/>
    <x v="17"/>
    <x v="3"/>
    <x v="1"/>
    <n v="3"/>
    <n v="1800"/>
    <n v="5400"/>
    <n v="3600"/>
    <n v="1800"/>
    <x v="0"/>
    <x v="3"/>
  </r>
  <r>
    <x v="163"/>
    <x v="1"/>
    <x v="0"/>
    <x v="44"/>
    <x v="4"/>
    <x v="2"/>
    <n v="2"/>
    <n v="800"/>
    <n v="1600"/>
    <n v="800"/>
    <n v="800"/>
    <x v="1"/>
    <x v="5"/>
  </r>
  <r>
    <x v="164"/>
    <x v="5"/>
    <x v="0"/>
    <x v="12"/>
    <x v="1"/>
    <x v="1"/>
    <n v="2"/>
    <n v="4000"/>
    <n v="8000"/>
    <n v="6000"/>
    <n v="2000"/>
    <x v="2"/>
    <x v="5"/>
  </r>
  <r>
    <x v="165"/>
    <x v="0"/>
    <x v="0"/>
    <x v="68"/>
    <x v="3"/>
    <x v="1"/>
    <n v="4"/>
    <n v="1800"/>
    <n v="7200"/>
    <n v="4800"/>
    <n v="2400"/>
    <x v="1"/>
    <x v="0"/>
  </r>
  <r>
    <x v="166"/>
    <x v="5"/>
    <x v="0"/>
    <x v="25"/>
    <x v="4"/>
    <x v="2"/>
    <n v="3"/>
    <n v="800"/>
    <n v="2400"/>
    <n v="1200"/>
    <n v="1200"/>
    <x v="1"/>
    <x v="2"/>
  </r>
  <r>
    <x v="167"/>
    <x v="19"/>
    <x v="0"/>
    <x v="90"/>
    <x v="2"/>
    <x v="0"/>
    <n v="2"/>
    <n v="1200"/>
    <n v="2400"/>
    <n v="1600"/>
    <n v="800"/>
    <x v="0"/>
    <x v="5"/>
  </r>
  <r>
    <x v="168"/>
    <x v="27"/>
    <x v="0"/>
    <x v="91"/>
    <x v="1"/>
    <x v="1"/>
    <n v="1"/>
    <n v="4000"/>
    <n v="4000"/>
    <n v="3000"/>
    <n v="1000"/>
    <x v="0"/>
    <x v="1"/>
  </r>
  <r>
    <x v="169"/>
    <x v="16"/>
    <x v="0"/>
    <x v="37"/>
    <x v="0"/>
    <x v="0"/>
    <n v="3"/>
    <n v="2500"/>
    <n v="7500"/>
    <n v="5400"/>
    <n v="2100"/>
    <x v="1"/>
    <x v="1"/>
  </r>
  <r>
    <x v="170"/>
    <x v="20"/>
    <x v="0"/>
    <x v="8"/>
    <x v="1"/>
    <x v="1"/>
    <n v="4"/>
    <n v="4000"/>
    <n v="16000"/>
    <n v="12000"/>
    <n v="4000"/>
    <x v="0"/>
    <x v="4"/>
  </r>
  <r>
    <x v="171"/>
    <x v="22"/>
    <x v="0"/>
    <x v="20"/>
    <x v="4"/>
    <x v="2"/>
    <n v="2"/>
    <n v="800"/>
    <n v="1600"/>
    <n v="800"/>
    <n v="800"/>
    <x v="2"/>
    <x v="2"/>
  </r>
  <r>
    <x v="172"/>
    <x v="2"/>
    <x v="0"/>
    <x v="2"/>
    <x v="0"/>
    <x v="0"/>
    <n v="3"/>
    <n v="2500"/>
    <n v="7500"/>
    <n v="5400"/>
    <n v="2100"/>
    <x v="2"/>
    <x v="2"/>
  </r>
  <r>
    <x v="173"/>
    <x v="5"/>
    <x v="0"/>
    <x v="58"/>
    <x v="4"/>
    <x v="2"/>
    <n v="1"/>
    <n v="800"/>
    <n v="800"/>
    <n v="400"/>
    <n v="400"/>
    <x v="2"/>
    <x v="0"/>
  </r>
  <r>
    <x v="174"/>
    <x v="29"/>
    <x v="0"/>
    <x v="43"/>
    <x v="3"/>
    <x v="1"/>
    <n v="2"/>
    <n v="1800"/>
    <n v="3600"/>
    <n v="2400"/>
    <n v="1200"/>
    <x v="2"/>
    <x v="0"/>
  </r>
  <r>
    <x v="175"/>
    <x v="29"/>
    <x v="0"/>
    <x v="92"/>
    <x v="4"/>
    <x v="2"/>
    <n v="1"/>
    <n v="800"/>
    <n v="800"/>
    <n v="400"/>
    <n v="400"/>
    <x v="2"/>
    <x v="2"/>
  </r>
  <r>
    <x v="176"/>
    <x v="0"/>
    <x v="0"/>
    <x v="93"/>
    <x v="4"/>
    <x v="2"/>
    <n v="1"/>
    <n v="800"/>
    <n v="800"/>
    <n v="400"/>
    <n v="400"/>
    <x v="1"/>
    <x v="3"/>
  </r>
  <r>
    <x v="177"/>
    <x v="28"/>
    <x v="0"/>
    <x v="94"/>
    <x v="2"/>
    <x v="0"/>
    <n v="2"/>
    <n v="1200"/>
    <n v="2400"/>
    <n v="1600"/>
    <n v="800"/>
    <x v="1"/>
    <x v="5"/>
  </r>
  <r>
    <x v="178"/>
    <x v="8"/>
    <x v="0"/>
    <x v="37"/>
    <x v="4"/>
    <x v="2"/>
    <n v="1"/>
    <n v="800"/>
    <n v="800"/>
    <n v="400"/>
    <n v="400"/>
    <x v="2"/>
    <x v="0"/>
  </r>
  <r>
    <x v="179"/>
    <x v="26"/>
    <x v="0"/>
    <x v="56"/>
    <x v="3"/>
    <x v="1"/>
    <n v="3"/>
    <n v="1800"/>
    <n v="5400"/>
    <n v="3600"/>
    <n v="1800"/>
    <x v="1"/>
    <x v="3"/>
  </r>
  <r>
    <x v="180"/>
    <x v="17"/>
    <x v="0"/>
    <x v="12"/>
    <x v="3"/>
    <x v="1"/>
    <n v="1"/>
    <n v="1800"/>
    <n v="1800"/>
    <n v="1200"/>
    <n v="600"/>
    <x v="1"/>
    <x v="0"/>
  </r>
  <r>
    <x v="181"/>
    <x v="4"/>
    <x v="0"/>
    <x v="95"/>
    <x v="4"/>
    <x v="2"/>
    <n v="4"/>
    <n v="800"/>
    <n v="3200"/>
    <n v="1600"/>
    <n v="1600"/>
    <x v="2"/>
    <x v="4"/>
  </r>
  <r>
    <x v="182"/>
    <x v="1"/>
    <x v="0"/>
    <x v="87"/>
    <x v="2"/>
    <x v="0"/>
    <n v="3"/>
    <n v="1200"/>
    <n v="3600"/>
    <n v="2400"/>
    <n v="1200"/>
    <x v="1"/>
    <x v="4"/>
  </r>
  <r>
    <x v="183"/>
    <x v="19"/>
    <x v="0"/>
    <x v="31"/>
    <x v="2"/>
    <x v="0"/>
    <n v="4"/>
    <n v="1200"/>
    <n v="4800"/>
    <n v="3200"/>
    <n v="1600"/>
    <x v="0"/>
    <x v="4"/>
  </r>
  <r>
    <x v="184"/>
    <x v="0"/>
    <x v="0"/>
    <x v="61"/>
    <x v="4"/>
    <x v="2"/>
    <n v="2"/>
    <n v="800"/>
    <n v="1600"/>
    <n v="800"/>
    <n v="800"/>
    <x v="0"/>
    <x v="5"/>
  </r>
  <r>
    <x v="185"/>
    <x v="26"/>
    <x v="0"/>
    <x v="94"/>
    <x v="4"/>
    <x v="2"/>
    <n v="3"/>
    <n v="800"/>
    <n v="2400"/>
    <n v="1200"/>
    <n v="1200"/>
    <x v="1"/>
    <x v="2"/>
  </r>
  <r>
    <x v="186"/>
    <x v="20"/>
    <x v="0"/>
    <x v="54"/>
    <x v="3"/>
    <x v="1"/>
    <n v="2"/>
    <n v="1800"/>
    <n v="3600"/>
    <n v="2400"/>
    <n v="1200"/>
    <x v="0"/>
    <x v="2"/>
  </r>
  <r>
    <x v="187"/>
    <x v="26"/>
    <x v="0"/>
    <x v="68"/>
    <x v="1"/>
    <x v="1"/>
    <n v="4"/>
    <n v="4000"/>
    <n v="16000"/>
    <n v="12000"/>
    <n v="4000"/>
    <x v="2"/>
    <x v="0"/>
  </r>
  <r>
    <x v="188"/>
    <x v="5"/>
    <x v="0"/>
    <x v="32"/>
    <x v="3"/>
    <x v="1"/>
    <n v="1"/>
    <n v="1800"/>
    <n v="1800"/>
    <n v="1200"/>
    <n v="600"/>
    <x v="0"/>
    <x v="1"/>
  </r>
  <r>
    <x v="189"/>
    <x v="7"/>
    <x v="0"/>
    <x v="60"/>
    <x v="0"/>
    <x v="0"/>
    <n v="2"/>
    <n v="2500"/>
    <n v="5000"/>
    <n v="3600"/>
    <n v="1400"/>
    <x v="2"/>
    <x v="4"/>
  </r>
  <r>
    <x v="190"/>
    <x v="7"/>
    <x v="0"/>
    <x v="68"/>
    <x v="2"/>
    <x v="0"/>
    <n v="4"/>
    <n v="1200"/>
    <n v="4800"/>
    <n v="3200"/>
    <n v="1600"/>
    <x v="2"/>
    <x v="5"/>
  </r>
  <r>
    <x v="191"/>
    <x v="21"/>
    <x v="0"/>
    <x v="3"/>
    <x v="2"/>
    <x v="0"/>
    <n v="3"/>
    <n v="1200"/>
    <n v="3600"/>
    <n v="2400"/>
    <n v="1200"/>
    <x v="2"/>
    <x v="2"/>
  </r>
  <r>
    <x v="192"/>
    <x v="10"/>
    <x v="0"/>
    <x v="56"/>
    <x v="5"/>
    <x v="0"/>
    <n v="4"/>
    <n v="3000"/>
    <n v="12000"/>
    <n v="8800"/>
    <n v="3200"/>
    <x v="0"/>
    <x v="4"/>
  </r>
  <r>
    <x v="193"/>
    <x v="6"/>
    <x v="0"/>
    <x v="0"/>
    <x v="5"/>
    <x v="0"/>
    <n v="1"/>
    <n v="3000"/>
    <n v="3000"/>
    <n v="2200"/>
    <n v="800"/>
    <x v="1"/>
    <x v="4"/>
  </r>
  <r>
    <x v="194"/>
    <x v="1"/>
    <x v="0"/>
    <x v="87"/>
    <x v="4"/>
    <x v="2"/>
    <n v="3"/>
    <n v="800"/>
    <n v="2400"/>
    <n v="1200"/>
    <n v="1200"/>
    <x v="2"/>
    <x v="5"/>
  </r>
  <r>
    <x v="195"/>
    <x v="13"/>
    <x v="0"/>
    <x v="96"/>
    <x v="1"/>
    <x v="1"/>
    <n v="3"/>
    <n v="4000"/>
    <n v="12000"/>
    <n v="9000"/>
    <n v="3000"/>
    <x v="0"/>
    <x v="1"/>
  </r>
  <r>
    <x v="196"/>
    <x v="8"/>
    <x v="0"/>
    <x v="24"/>
    <x v="1"/>
    <x v="1"/>
    <n v="1"/>
    <n v="4000"/>
    <n v="4000"/>
    <n v="3000"/>
    <n v="1000"/>
    <x v="1"/>
    <x v="3"/>
  </r>
  <r>
    <x v="197"/>
    <x v="11"/>
    <x v="0"/>
    <x v="11"/>
    <x v="2"/>
    <x v="0"/>
    <n v="4"/>
    <n v="1200"/>
    <n v="4800"/>
    <n v="3200"/>
    <n v="1600"/>
    <x v="0"/>
    <x v="3"/>
  </r>
  <r>
    <x v="198"/>
    <x v="7"/>
    <x v="0"/>
    <x v="3"/>
    <x v="4"/>
    <x v="2"/>
    <n v="3"/>
    <n v="800"/>
    <n v="2400"/>
    <n v="1200"/>
    <n v="1200"/>
    <x v="2"/>
    <x v="4"/>
  </r>
  <r>
    <x v="199"/>
    <x v="17"/>
    <x v="0"/>
    <x v="23"/>
    <x v="1"/>
    <x v="1"/>
    <n v="3"/>
    <n v="4000"/>
    <n v="12000"/>
    <n v="9000"/>
    <n v="3000"/>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C016"/>
    <s v="Jeans"/>
    <n v="1"/>
    <b v="1"/>
    <x v="0"/>
  </r>
  <r>
    <s v="ORD002"/>
    <s v="C027"/>
    <s v="Sneakers"/>
    <n v="4"/>
    <b v="1"/>
    <x v="0"/>
  </r>
  <r>
    <s v="ORD003"/>
    <s v="C078"/>
    <s v="T-Shirt"/>
    <n v="4"/>
    <b v="0"/>
    <x v="1"/>
  </r>
  <r>
    <s v="ORD004"/>
    <s v="C103"/>
    <s v="Sneakers"/>
    <n v="3"/>
    <b v="1"/>
    <x v="0"/>
  </r>
  <r>
    <s v="ORD005"/>
    <s v="C003"/>
    <s v="T-Shirt"/>
    <n v="3"/>
    <b v="1"/>
    <x v="0"/>
  </r>
  <r>
    <s v="ORD006"/>
    <s v="C049"/>
    <s v="Sandals"/>
    <n v="1"/>
    <b v="1"/>
    <x v="0"/>
  </r>
  <r>
    <s v="ORD007"/>
    <s v="C029"/>
    <s v="Sneakers"/>
    <n v="1"/>
    <b v="0"/>
    <x v="1"/>
  </r>
  <r>
    <s v="ORD008"/>
    <s v="C030"/>
    <s v="Sandals"/>
    <n v="2"/>
    <b v="1"/>
    <x v="0"/>
  </r>
  <r>
    <s v="ORD009"/>
    <s v="C003"/>
    <s v="Sneakers"/>
    <n v="3"/>
    <b v="1"/>
    <x v="0"/>
  </r>
  <r>
    <s v="ORD010"/>
    <s v="C081"/>
    <s v="Cap"/>
    <n v="1"/>
    <b v="1"/>
    <x v="0"/>
  </r>
  <r>
    <s v="ORD011"/>
    <s v="C093"/>
    <s v="T-Shirt"/>
    <n v="3"/>
    <b v="0"/>
    <x v="1"/>
  </r>
  <r>
    <s v="ORD012"/>
    <s v="C037"/>
    <s v="Sneakers"/>
    <n v="2"/>
    <b v="1"/>
    <x v="0"/>
  </r>
  <r>
    <s v="ORD013"/>
    <s v="C110"/>
    <s v="Sandals"/>
    <n v="4"/>
    <b v="1"/>
    <x v="0"/>
  </r>
  <r>
    <s v="ORD014"/>
    <s v="C086"/>
    <s v="Jeans"/>
    <n v="4"/>
    <b v="1"/>
    <x v="0"/>
  </r>
  <r>
    <s v="ORD015"/>
    <s v="C057"/>
    <s v="Sandals"/>
    <n v="3"/>
    <b v="1"/>
    <x v="0"/>
  </r>
  <r>
    <s v="ORD016"/>
    <s v="C108"/>
    <s v="T-Shirt"/>
    <n v="2"/>
    <b v="1"/>
    <x v="0"/>
  </r>
  <r>
    <s v="ORD017"/>
    <s v="C006"/>
    <s v="Sneakers"/>
    <n v="1"/>
    <b v="1"/>
    <x v="0"/>
  </r>
  <r>
    <s v="ORD018"/>
    <s v="C022"/>
    <s v="Sandals"/>
    <n v="4"/>
    <b v="1"/>
    <x v="0"/>
  </r>
  <r>
    <s v="ORD019"/>
    <s v="C026"/>
    <s v="Jeans"/>
    <n v="1"/>
    <b v="1"/>
    <x v="0"/>
  </r>
  <r>
    <s v="ORD020"/>
    <s v="C045"/>
    <s v="Jeans"/>
    <n v="4"/>
    <b v="1"/>
    <x v="0"/>
  </r>
  <r>
    <s v="ORD021"/>
    <s v="C071"/>
    <s v="Sneakers"/>
    <n v="3"/>
    <b v="1"/>
    <x v="0"/>
  </r>
  <r>
    <s v="ORD022"/>
    <s v="C110"/>
    <s v="T-Shirt"/>
    <n v="4"/>
    <b v="0"/>
    <x v="1"/>
  </r>
  <r>
    <s v="ORD023"/>
    <s v="C008"/>
    <s v="Jeans"/>
    <n v="2"/>
    <b v="1"/>
    <x v="0"/>
  </r>
  <r>
    <s v="ORD024"/>
    <s v="C053"/>
    <s v="Sandals"/>
    <n v="2"/>
    <b v="1"/>
    <x v="0"/>
  </r>
  <r>
    <s v="ORD025"/>
    <s v="C069"/>
    <s v="Sneakers"/>
    <n v="3"/>
    <b v="0"/>
    <x v="1"/>
  </r>
  <r>
    <s v="ORD026"/>
    <s v="C077"/>
    <s v="Sandals"/>
    <n v="3"/>
    <b v="1"/>
    <x v="0"/>
  </r>
  <r>
    <s v="ORD027"/>
    <s v="C075"/>
    <s v="Cap"/>
    <n v="2"/>
    <b v="1"/>
    <x v="0"/>
  </r>
  <r>
    <s v="ORD028"/>
    <s v="C108"/>
    <s v="Sandals"/>
    <n v="3"/>
    <b v="0"/>
    <x v="1"/>
  </r>
  <r>
    <s v="ORD029"/>
    <s v="C002"/>
    <s v="T-Shirt"/>
    <n v="1"/>
    <b v="0"/>
    <x v="1"/>
  </r>
  <r>
    <s v="ORD030"/>
    <s v="C080"/>
    <s v="Hoodie"/>
    <n v="1"/>
    <b v="1"/>
    <x v="0"/>
  </r>
  <r>
    <s v="ORD031"/>
    <s v="C021"/>
    <s v="Hoodie"/>
    <n v="1"/>
    <b v="1"/>
    <x v="0"/>
  </r>
  <r>
    <s v="ORD032"/>
    <s v="C092"/>
    <s v="Jeans"/>
    <n v="3"/>
    <b v="1"/>
    <x v="0"/>
  </r>
  <r>
    <s v="ORD033"/>
    <s v="C061"/>
    <s v="Cap"/>
    <n v="3"/>
    <b v="1"/>
    <x v="0"/>
  </r>
  <r>
    <s v="ORD034"/>
    <s v="C054"/>
    <s v="Hoodie"/>
    <n v="4"/>
    <b v="1"/>
    <x v="0"/>
  </r>
  <r>
    <s v="ORD035"/>
    <s v="C094"/>
    <s v="T-Shirt"/>
    <n v="3"/>
    <b v="1"/>
    <x v="0"/>
  </r>
  <r>
    <s v="ORD036"/>
    <s v="C003"/>
    <s v="Sandals"/>
    <n v="4"/>
    <b v="1"/>
    <x v="0"/>
  </r>
  <r>
    <s v="ORD037"/>
    <s v="C093"/>
    <s v="Sneakers"/>
    <n v="2"/>
    <b v="1"/>
    <x v="0"/>
  </r>
  <r>
    <s v="ORD038"/>
    <s v="C107"/>
    <s v="Cap"/>
    <n v="4"/>
    <b v="1"/>
    <x v="0"/>
  </r>
  <r>
    <s v="ORD039"/>
    <s v="C068"/>
    <s v="Cap"/>
    <n v="4"/>
    <b v="1"/>
    <x v="0"/>
  </r>
  <r>
    <s v="ORD040"/>
    <s v="C081"/>
    <s v="Sneakers"/>
    <n v="3"/>
    <b v="1"/>
    <x v="0"/>
  </r>
  <r>
    <s v="ORD041"/>
    <s v="C028"/>
    <s v="Cap"/>
    <n v="3"/>
    <b v="1"/>
    <x v="0"/>
  </r>
  <r>
    <s v="ORD042"/>
    <s v="C118"/>
    <s v="T-Shirt"/>
    <n v="1"/>
    <b v="1"/>
    <x v="0"/>
  </r>
  <r>
    <s v="ORD043"/>
    <s v="C033"/>
    <s v="Jeans"/>
    <n v="4"/>
    <b v="1"/>
    <x v="0"/>
  </r>
  <r>
    <s v="ORD044"/>
    <s v="C105"/>
    <s v="Sandals"/>
    <n v="1"/>
    <b v="1"/>
    <x v="0"/>
  </r>
  <r>
    <s v="ORD045"/>
    <s v="C112"/>
    <s v="Sneakers"/>
    <n v="2"/>
    <b v="1"/>
    <x v="0"/>
  </r>
  <r>
    <s v="ORD046"/>
    <s v="C026"/>
    <s v="Sandals"/>
    <n v="1"/>
    <b v="1"/>
    <x v="0"/>
  </r>
  <r>
    <s v="ORD047"/>
    <s v="C025"/>
    <s v="Jeans"/>
    <n v="4"/>
    <b v="1"/>
    <x v="0"/>
  </r>
  <r>
    <s v="ORD048"/>
    <s v="C065"/>
    <s v="Cap"/>
    <n v="4"/>
    <b v="1"/>
    <x v="0"/>
  </r>
  <r>
    <s v="ORD049"/>
    <s v="C037"/>
    <s v="Hoodie"/>
    <n v="4"/>
    <b v="0"/>
    <x v="1"/>
  </r>
  <r>
    <s v="ORD050"/>
    <s v="C073"/>
    <s v="Jeans"/>
    <n v="3"/>
    <b v="1"/>
    <x v="0"/>
  </r>
  <r>
    <s v="ORD051"/>
    <s v="C087"/>
    <s v="Sneakers"/>
    <n v="2"/>
    <b v="1"/>
    <x v="0"/>
  </r>
  <r>
    <s v="ORD052"/>
    <s v="C113"/>
    <s v="Sandals"/>
    <n v="3"/>
    <b v="1"/>
    <x v="0"/>
  </r>
  <r>
    <s v="ORD053"/>
    <s v="C093"/>
    <s v="Sneakers"/>
    <n v="2"/>
    <b v="1"/>
    <x v="0"/>
  </r>
  <r>
    <s v="ORD054"/>
    <s v="C117"/>
    <s v="Jeans"/>
    <n v="2"/>
    <b v="0"/>
    <x v="1"/>
  </r>
  <r>
    <s v="ORD055"/>
    <s v="C065"/>
    <s v="Hoodie"/>
    <n v="3"/>
    <b v="1"/>
    <x v="0"/>
  </r>
  <r>
    <s v="ORD056"/>
    <s v="C038"/>
    <s v="Hoodie"/>
    <n v="3"/>
    <b v="1"/>
    <x v="0"/>
  </r>
  <r>
    <s v="ORD057"/>
    <s v="C075"/>
    <s v="Cap"/>
    <n v="4"/>
    <b v="0"/>
    <x v="1"/>
  </r>
  <r>
    <s v="ORD058"/>
    <s v="C010"/>
    <s v="Hoodie"/>
    <n v="1"/>
    <b v="1"/>
    <x v="0"/>
  </r>
  <r>
    <s v="ORD059"/>
    <s v="C079"/>
    <s v="Jeans"/>
    <n v="3"/>
    <b v="1"/>
    <x v="0"/>
  </r>
  <r>
    <s v="ORD060"/>
    <s v="C011"/>
    <s v="T-Shirt"/>
    <n v="2"/>
    <b v="1"/>
    <x v="0"/>
  </r>
  <r>
    <s v="ORD061"/>
    <s v="C115"/>
    <s v="Hoodie"/>
    <n v="1"/>
    <b v="1"/>
    <x v="0"/>
  </r>
  <r>
    <s v="ORD062"/>
    <s v="C079"/>
    <s v="T-Shirt"/>
    <n v="3"/>
    <b v="1"/>
    <x v="0"/>
  </r>
  <r>
    <s v="ORD063"/>
    <s v="C106"/>
    <s v="T-Shirt"/>
    <n v="4"/>
    <b v="1"/>
    <x v="0"/>
  </r>
  <r>
    <s v="ORD064"/>
    <s v="C015"/>
    <s v="Jeans"/>
    <n v="4"/>
    <b v="1"/>
    <x v="0"/>
  </r>
  <r>
    <s v="ORD065"/>
    <s v="C096"/>
    <s v="Cap"/>
    <n v="2"/>
    <b v="1"/>
    <x v="0"/>
  </r>
  <r>
    <s v="ORD066"/>
    <s v="C033"/>
    <s v="Sneakers"/>
    <n v="3"/>
    <b v="1"/>
    <x v="0"/>
  </r>
  <r>
    <s v="ORD067"/>
    <s v="C084"/>
    <s v="Hoodie"/>
    <n v="1"/>
    <b v="1"/>
    <x v="0"/>
  </r>
  <r>
    <s v="ORD068"/>
    <s v="C119"/>
    <s v="T-Shirt"/>
    <n v="1"/>
    <b v="0"/>
    <x v="1"/>
  </r>
  <r>
    <s v="ORD069"/>
    <s v="C051"/>
    <s v="Sandals"/>
    <n v="3"/>
    <b v="1"/>
    <x v="0"/>
  </r>
  <r>
    <s v="ORD070"/>
    <s v="C041"/>
    <s v="T-Shirt"/>
    <n v="1"/>
    <b v="1"/>
    <x v="0"/>
  </r>
  <r>
    <s v="ORD071"/>
    <s v="C101"/>
    <s v="T-Shirt"/>
    <n v="3"/>
    <b v="1"/>
    <x v="0"/>
  </r>
  <r>
    <s v="ORD072"/>
    <s v="C046"/>
    <s v="Cap"/>
    <n v="4"/>
    <b v="1"/>
    <x v="0"/>
  </r>
  <r>
    <s v="ORD073"/>
    <s v="C026"/>
    <s v="Sandals"/>
    <n v="2"/>
    <b v="1"/>
    <x v="0"/>
  </r>
  <r>
    <s v="ORD074"/>
    <s v="C097"/>
    <s v="T-Shirt"/>
    <n v="3"/>
    <b v="1"/>
    <x v="0"/>
  </r>
  <r>
    <s v="ORD075"/>
    <s v="C050"/>
    <s v="Cap"/>
    <n v="3"/>
    <b v="1"/>
    <x v="0"/>
  </r>
  <r>
    <s v="ORD076"/>
    <s v="C102"/>
    <s v="Hoodie"/>
    <n v="2"/>
    <b v="0"/>
    <x v="1"/>
  </r>
  <r>
    <s v="ORD077"/>
    <s v="C070"/>
    <s v="Jeans"/>
    <n v="3"/>
    <b v="1"/>
    <x v="0"/>
  </r>
  <r>
    <s v="ORD078"/>
    <s v="C029"/>
    <s v="Sandals"/>
    <n v="1"/>
    <b v="1"/>
    <x v="0"/>
  </r>
  <r>
    <s v="ORD079"/>
    <s v="C071"/>
    <s v="Sneakers"/>
    <n v="1"/>
    <b v="0"/>
    <x v="1"/>
  </r>
  <r>
    <s v="ORD080"/>
    <s v="C002"/>
    <s v="T-Shirt"/>
    <n v="1"/>
    <b v="1"/>
    <x v="0"/>
  </r>
  <r>
    <s v="ORD081"/>
    <s v="C110"/>
    <s v="Sneakers"/>
    <n v="4"/>
    <b v="1"/>
    <x v="0"/>
  </r>
  <r>
    <s v="ORD082"/>
    <s v="C066"/>
    <s v="Sandals"/>
    <n v="3"/>
    <b v="1"/>
    <x v="0"/>
  </r>
  <r>
    <s v="ORD083"/>
    <s v="C106"/>
    <s v="Jeans"/>
    <n v="2"/>
    <b v="1"/>
    <x v="0"/>
  </r>
  <r>
    <s v="ORD084"/>
    <s v="C115"/>
    <s v="T-Shirt"/>
    <n v="3"/>
    <b v="1"/>
    <x v="0"/>
  </r>
  <r>
    <s v="ORD085"/>
    <s v="C041"/>
    <s v="Sandals"/>
    <n v="1"/>
    <b v="1"/>
    <x v="0"/>
  </r>
  <r>
    <s v="ORD086"/>
    <s v="C039"/>
    <s v="Sandals"/>
    <n v="2"/>
    <b v="1"/>
    <x v="0"/>
  </r>
  <r>
    <s v="ORD087"/>
    <s v="C111"/>
    <s v="Jeans"/>
    <n v="1"/>
    <b v="1"/>
    <x v="0"/>
  </r>
  <r>
    <s v="ORD088"/>
    <s v="C058"/>
    <s v="Hoodie"/>
    <n v="1"/>
    <b v="1"/>
    <x v="0"/>
  </r>
  <r>
    <s v="ORD089"/>
    <s v="C069"/>
    <s v="Hoodie"/>
    <n v="4"/>
    <b v="1"/>
    <x v="0"/>
  </r>
  <r>
    <s v="ORD090"/>
    <s v="C034"/>
    <s v="Sneakers"/>
    <n v="3"/>
    <b v="1"/>
    <x v="0"/>
  </r>
  <r>
    <s v="ORD091"/>
    <s v="C003"/>
    <s v="Cap"/>
    <n v="4"/>
    <b v="1"/>
    <x v="0"/>
  </r>
  <r>
    <s v="ORD092"/>
    <s v="C017"/>
    <s v="Hoodie"/>
    <n v="2"/>
    <b v="1"/>
    <x v="0"/>
  </r>
  <r>
    <s v="ORD093"/>
    <s v="C052"/>
    <s v="Hoodie"/>
    <n v="4"/>
    <b v="1"/>
    <x v="0"/>
  </r>
  <r>
    <s v="ORD094"/>
    <s v="C001"/>
    <s v="T-Shirt"/>
    <n v="2"/>
    <b v="1"/>
    <x v="0"/>
  </r>
  <r>
    <s v="ORD095"/>
    <s v="C088"/>
    <s v="Hoodie"/>
    <n v="4"/>
    <b v="1"/>
    <x v="0"/>
  </r>
  <r>
    <s v="ORD096"/>
    <s v="C064"/>
    <s v="Jeans"/>
    <n v="2"/>
    <b v="1"/>
    <x v="0"/>
  </r>
  <r>
    <s v="ORD097"/>
    <s v="C072"/>
    <s v="Jeans"/>
    <n v="4"/>
    <b v="1"/>
    <x v="0"/>
  </r>
  <r>
    <s v="ORD098"/>
    <s v="C029"/>
    <s v="Cap"/>
    <n v="3"/>
    <b v="1"/>
    <x v="0"/>
  </r>
  <r>
    <s v="ORD099"/>
    <s v="C066"/>
    <s v="Sandals"/>
    <n v="3"/>
    <b v="1"/>
    <x v="0"/>
  </r>
  <r>
    <s v="ORD100"/>
    <s v="C071"/>
    <s v="Hoodie"/>
    <n v="3"/>
    <b v="1"/>
    <x v="0"/>
  </r>
  <r>
    <s v="ORD101"/>
    <s v="C011"/>
    <s v="Cap"/>
    <n v="4"/>
    <b v="1"/>
    <x v="0"/>
  </r>
  <r>
    <s v="ORD102"/>
    <s v="C020"/>
    <s v="Sandals"/>
    <n v="4"/>
    <b v="1"/>
    <x v="0"/>
  </r>
  <r>
    <s v="ORD103"/>
    <s v="C088"/>
    <s v="Jeans"/>
    <n v="1"/>
    <b v="1"/>
    <x v="0"/>
  </r>
  <r>
    <s v="ORD104"/>
    <s v="C066"/>
    <s v="Cap"/>
    <n v="3"/>
    <b v="1"/>
    <x v="0"/>
  </r>
  <r>
    <s v="ORD105"/>
    <s v="C012"/>
    <s v="Cap"/>
    <n v="1"/>
    <b v="1"/>
    <x v="0"/>
  </r>
  <r>
    <s v="ORD106"/>
    <s v="C117"/>
    <s v="T-Shirt"/>
    <n v="3"/>
    <b v="1"/>
    <x v="0"/>
  </r>
  <r>
    <s v="ORD107"/>
    <s v="C109"/>
    <s v="Sandals"/>
    <n v="1"/>
    <b v="1"/>
    <x v="0"/>
  </r>
  <r>
    <s v="ORD108"/>
    <s v="C117"/>
    <s v="Sneakers"/>
    <n v="4"/>
    <b v="1"/>
    <x v="0"/>
  </r>
  <r>
    <s v="ORD109"/>
    <s v="C016"/>
    <s v="Jeans"/>
    <n v="4"/>
    <b v="1"/>
    <x v="0"/>
  </r>
  <r>
    <s v="ORD110"/>
    <s v="C016"/>
    <s v="Sandals"/>
    <n v="4"/>
    <b v="1"/>
    <x v="0"/>
  </r>
  <r>
    <s v="ORD111"/>
    <s v="C096"/>
    <s v="Hoodie"/>
    <n v="2"/>
    <b v="1"/>
    <x v="0"/>
  </r>
  <r>
    <s v="ORD112"/>
    <s v="C003"/>
    <s v="Jeans"/>
    <n v="4"/>
    <b v="1"/>
    <x v="0"/>
  </r>
  <r>
    <s v="ORD113"/>
    <s v="C034"/>
    <s v="Sandals"/>
    <n v="2"/>
    <b v="1"/>
    <x v="0"/>
  </r>
  <r>
    <s v="ORD114"/>
    <s v="C026"/>
    <s v="Hoodie"/>
    <n v="2"/>
    <b v="1"/>
    <x v="0"/>
  </r>
  <r>
    <s v="ORD115"/>
    <s v="C088"/>
    <s v="Sandals"/>
    <n v="3"/>
    <b v="1"/>
    <x v="0"/>
  </r>
  <r>
    <s v="ORD116"/>
    <s v="C054"/>
    <s v="Sandals"/>
    <n v="3"/>
    <b v="1"/>
    <x v="0"/>
  </r>
  <r>
    <s v="ORD117"/>
    <s v="C037"/>
    <s v="Sandals"/>
    <n v="4"/>
    <b v="1"/>
    <x v="0"/>
  </r>
  <r>
    <s v="ORD118"/>
    <s v="C038"/>
    <s v="T-Shirt"/>
    <n v="1"/>
    <b v="1"/>
    <x v="0"/>
  </r>
  <r>
    <s v="ORD119"/>
    <s v="C065"/>
    <s v="Cap"/>
    <n v="2"/>
    <b v="1"/>
    <x v="0"/>
  </r>
  <r>
    <s v="ORD120"/>
    <s v="C087"/>
    <s v="Hoodie"/>
    <n v="4"/>
    <b v="1"/>
    <x v="0"/>
  </r>
  <r>
    <s v="ORD121"/>
    <s v="C057"/>
    <s v="Hoodie"/>
    <n v="1"/>
    <b v="1"/>
    <x v="0"/>
  </r>
  <r>
    <s v="ORD122"/>
    <s v="C052"/>
    <s v="Hoodie"/>
    <n v="3"/>
    <b v="1"/>
    <x v="0"/>
  </r>
  <r>
    <s v="ORD123"/>
    <s v="C083"/>
    <s v="Cap"/>
    <n v="4"/>
    <b v="1"/>
    <x v="0"/>
  </r>
  <r>
    <s v="ORD124"/>
    <s v="C082"/>
    <s v="Jeans"/>
    <n v="1"/>
    <b v="1"/>
    <x v="0"/>
  </r>
  <r>
    <s v="ORD125"/>
    <s v="C060"/>
    <s v="Cap"/>
    <n v="2"/>
    <b v="1"/>
    <x v="0"/>
  </r>
  <r>
    <s v="ORD126"/>
    <s v="C022"/>
    <s v="Sneakers"/>
    <n v="3"/>
    <b v="1"/>
    <x v="0"/>
  </r>
  <r>
    <s v="ORD127"/>
    <s v="C068"/>
    <s v="Cap"/>
    <n v="2"/>
    <b v="1"/>
    <x v="0"/>
  </r>
  <r>
    <s v="ORD128"/>
    <s v="C044"/>
    <s v="Sneakers"/>
    <n v="4"/>
    <b v="1"/>
    <x v="0"/>
  </r>
  <r>
    <s v="ORD129"/>
    <s v="C096"/>
    <s v="Cap"/>
    <n v="1"/>
    <b v="1"/>
    <x v="0"/>
  </r>
  <r>
    <s v="ORD130"/>
    <s v="C003"/>
    <s v="Cap"/>
    <n v="3"/>
    <b v="1"/>
    <x v="0"/>
  </r>
  <r>
    <s v="ORD131"/>
    <s v="C100"/>
    <s v="Cap"/>
    <n v="2"/>
    <b v="1"/>
    <x v="0"/>
  </r>
  <r>
    <s v="ORD132"/>
    <s v="C100"/>
    <s v="Jeans"/>
    <n v="1"/>
    <b v="1"/>
    <x v="0"/>
  </r>
  <r>
    <s v="ORD133"/>
    <s v="C091"/>
    <s v="Hoodie"/>
    <n v="3"/>
    <b v="1"/>
    <x v="0"/>
  </r>
  <r>
    <s v="ORD134"/>
    <s v="C060"/>
    <s v="Sandals"/>
    <n v="3"/>
    <b v="1"/>
    <x v="0"/>
  </r>
  <r>
    <s v="ORD135"/>
    <s v="C006"/>
    <s v="Jeans"/>
    <n v="4"/>
    <b v="1"/>
    <x v="0"/>
  </r>
  <r>
    <s v="ORD136"/>
    <s v="C046"/>
    <s v="T-Shirt"/>
    <n v="4"/>
    <b v="1"/>
    <x v="0"/>
  </r>
  <r>
    <s v="ORD137"/>
    <s v="C065"/>
    <s v="Sneakers"/>
    <n v="1"/>
    <b v="1"/>
    <x v="0"/>
  </r>
  <r>
    <s v="ORD138"/>
    <s v="C082"/>
    <s v="Cap"/>
    <n v="1"/>
    <b v="1"/>
    <x v="0"/>
  </r>
  <r>
    <s v="ORD139"/>
    <s v="C068"/>
    <s v="Sandals"/>
    <n v="3"/>
    <b v="1"/>
    <x v="0"/>
  </r>
  <r>
    <s v="ORD140"/>
    <s v="C010"/>
    <s v="Hoodie"/>
    <n v="3"/>
    <b v="1"/>
    <x v="0"/>
  </r>
  <r>
    <s v="ORD141"/>
    <s v="C066"/>
    <s v="Cap"/>
    <n v="3"/>
    <b v="1"/>
    <x v="0"/>
  </r>
  <r>
    <s v="ORD142"/>
    <s v="C084"/>
    <s v="T-Shirt"/>
    <n v="2"/>
    <b v="1"/>
    <x v="0"/>
  </r>
  <r>
    <s v="ORD143"/>
    <s v="C079"/>
    <s v="Sandals"/>
    <n v="3"/>
    <b v="1"/>
    <x v="0"/>
  </r>
  <r>
    <s v="ORD144"/>
    <s v="C062"/>
    <s v="Sneakers"/>
    <n v="4"/>
    <b v="1"/>
    <x v="0"/>
  </r>
  <r>
    <s v="ORD145"/>
    <s v="C079"/>
    <s v="Hoodie"/>
    <n v="2"/>
    <b v="1"/>
    <x v="0"/>
  </r>
  <r>
    <s v="ORD146"/>
    <s v="C116"/>
    <s v="Cap"/>
    <n v="1"/>
    <b v="1"/>
    <x v="0"/>
  </r>
  <r>
    <s v="ORD147"/>
    <s v="C098"/>
    <s v="Hoodie"/>
    <n v="4"/>
    <b v="1"/>
    <x v="0"/>
  </r>
  <r>
    <s v="ORD148"/>
    <s v="C094"/>
    <s v="Jeans"/>
    <n v="1"/>
    <b v="1"/>
    <x v="0"/>
  </r>
  <r>
    <s v="ORD149"/>
    <s v="C034"/>
    <s v="Sneakers"/>
    <n v="2"/>
    <b v="1"/>
    <x v="0"/>
  </r>
  <r>
    <s v="ORD150"/>
    <s v="C018"/>
    <s v="Jeans"/>
    <n v="2"/>
    <b v="1"/>
    <x v="0"/>
  </r>
  <r>
    <s v="ORD151"/>
    <s v="C052"/>
    <s v="Hoodie"/>
    <n v="3"/>
    <b v="1"/>
    <x v="0"/>
  </r>
  <r>
    <s v="ORD152"/>
    <s v="C088"/>
    <s v="Cap"/>
    <n v="2"/>
    <b v="1"/>
    <x v="0"/>
  </r>
  <r>
    <s v="ORD153"/>
    <s v="C042"/>
    <s v="T-Shirt"/>
    <n v="2"/>
    <b v="1"/>
    <x v="0"/>
  </r>
  <r>
    <s v="ORD154"/>
    <s v="C104"/>
    <s v="Jeans"/>
    <n v="1"/>
    <b v="1"/>
    <x v="0"/>
  </r>
  <r>
    <s v="ORD155"/>
    <s v="C091"/>
    <s v="Jeans"/>
    <n v="1"/>
    <b v="1"/>
    <x v="0"/>
  </r>
  <r>
    <s v="ORD156"/>
    <s v="C085"/>
    <s v="Sandals"/>
    <n v="4"/>
    <b v="1"/>
    <x v="0"/>
  </r>
  <r>
    <s v="ORD157"/>
    <s v="C029"/>
    <s v="Sandals"/>
    <n v="2"/>
    <b v="1"/>
    <x v="0"/>
  </r>
  <r>
    <s v="ORD158"/>
    <s v="C097"/>
    <s v="Sneakers"/>
    <n v="4"/>
    <b v="1"/>
    <x v="0"/>
  </r>
  <r>
    <s v="ORD159"/>
    <s v="C071"/>
    <s v="Jeans"/>
    <n v="3"/>
    <b v="1"/>
    <x v="0"/>
  </r>
  <r>
    <s v="ORD160"/>
    <s v="C034"/>
    <s v="Jeans"/>
    <n v="4"/>
    <b v="1"/>
    <x v="0"/>
  </r>
  <r>
    <s v="ORD161"/>
    <s v="C028"/>
    <s v="Sandals"/>
    <n v="1"/>
    <b v="1"/>
    <x v="0"/>
  </r>
  <r>
    <s v="ORD162"/>
    <s v="C062"/>
    <s v="T-Shirt"/>
    <n v="1"/>
    <b v="1"/>
    <x v="0"/>
  </r>
  <r>
    <s v="ORD163"/>
    <s v="C026"/>
    <s v="Sandals"/>
    <n v="3"/>
    <b v="1"/>
    <x v="0"/>
  </r>
  <r>
    <s v="ORD164"/>
    <s v="C117"/>
    <s v="Cap"/>
    <n v="2"/>
    <b v="1"/>
    <x v="0"/>
  </r>
  <r>
    <s v="ORD165"/>
    <s v="C086"/>
    <s v="Sneakers"/>
    <n v="2"/>
    <b v="1"/>
    <x v="0"/>
  </r>
  <r>
    <s v="ORD166"/>
    <s v="C017"/>
    <s v="Sandals"/>
    <n v="4"/>
    <b v="1"/>
    <x v="0"/>
  </r>
  <r>
    <s v="ORD167"/>
    <s v="C002"/>
    <s v="Cap"/>
    <n v="3"/>
    <b v="1"/>
    <x v="0"/>
  </r>
  <r>
    <s v="ORD168"/>
    <s v="C120"/>
    <s v="T-Shirt"/>
    <n v="2"/>
    <b v="1"/>
    <x v="0"/>
  </r>
  <r>
    <s v="ORD169"/>
    <s v="C004"/>
    <s v="Sneakers"/>
    <n v="1"/>
    <b v="1"/>
    <x v="0"/>
  </r>
  <r>
    <s v="ORD170"/>
    <s v="C105"/>
    <s v="Jeans"/>
    <n v="3"/>
    <b v="1"/>
    <x v="0"/>
  </r>
  <r>
    <s v="ORD171"/>
    <s v="C081"/>
    <s v="Sneakers"/>
    <n v="4"/>
    <b v="1"/>
    <x v="0"/>
  </r>
  <r>
    <s v="ORD172"/>
    <s v="C008"/>
    <s v="Cap"/>
    <n v="2"/>
    <b v="1"/>
    <x v="0"/>
  </r>
  <r>
    <s v="ORD173"/>
    <s v="C078"/>
    <s v="Jeans"/>
    <n v="3"/>
    <b v="1"/>
    <x v="0"/>
  </r>
  <r>
    <s v="ORD174"/>
    <s v="C046"/>
    <s v="Cap"/>
    <n v="1"/>
    <b v="1"/>
    <x v="0"/>
  </r>
  <r>
    <s v="ORD175"/>
    <s v="C113"/>
    <s v="Sandals"/>
    <n v="2"/>
    <b v="1"/>
    <x v="0"/>
  </r>
  <r>
    <s v="ORD176"/>
    <s v="C035"/>
    <s v="Cap"/>
    <n v="1"/>
    <b v="1"/>
    <x v="0"/>
  </r>
  <r>
    <s v="ORD177"/>
    <s v="C023"/>
    <s v="Cap"/>
    <n v="1"/>
    <b v="1"/>
    <x v="0"/>
  </r>
  <r>
    <s v="ORD178"/>
    <s v="C055"/>
    <s v="T-Shirt"/>
    <n v="2"/>
    <b v="1"/>
    <x v="0"/>
  </r>
  <r>
    <s v="ORD179"/>
    <s v="C105"/>
    <s v="Cap"/>
    <n v="1"/>
    <b v="1"/>
    <x v="0"/>
  </r>
  <r>
    <s v="ORD180"/>
    <s v="C041"/>
    <s v="Sandals"/>
    <n v="3"/>
    <b v="1"/>
    <x v="0"/>
  </r>
  <r>
    <s v="ORD181"/>
    <s v="C086"/>
    <s v="Sandals"/>
    <n v="1"/>
    <b v="1"/>
    <x v="0"/>
  </r>
  <r>
    <s v="ORD182"/>
    <s v="C095"/>
    <s v="Cap"/>
    <n v="4"/>
    <b v="1"/>
    <x v="0"/>
  </r>
  <r>
    <s v="ORD183"/>
    <s v="C042"/>
    <s v="T-Shirt"/>
    <n v="3"/>
    <b v="1"/>
    <x v="0"/>
  </r>
  <r>
    <s v="ORD184"/>
    <s v="C094"/>
    <s v="T-Shirt"/>
    <n v="4"/>
    <b v="1"/>
    <x v="0"/>
  </r>
  <r>
    <s v="ORD185"/>
    <s v="C102"/>
    <s v="Cap"/>
    <n v="2"/>
    <b v="1"/>
    <x v="0"/>
  </r>
  <r>
    <s v="ORD186"/>
    <s v="C055"/>
    <s v="Cap"/>
    <n v="3"/>
    <b v="1"/>
    <x v="0"/>
  </r>
  <r>
    <s v="ORD187"/>
    <s v="C119"/>
    <s v="Sandals"/>
    <n v="2"/>
    <b v="1"/>
    <x v="0"/>
  </r>
  <r>
    <s v="ORD188"/>
    <s v="C017"/>
    <s v="Sneakers"/>
    <n v="4"/>
    <b v="0"/>
    <x v="1"/>
  </r>
  <r>
    <s v="ORD189"/>
    <s v="C107"/>
    <s v="Sandals"/>
    <n v="1"/>
    <b v="0"/>
    <x v="1"/>
  </r>
  <r>
    <s v="ORD190"/>
    <s v="C050"/>
    <s v="Jeans"/>
    <n v="2"/>
    <b v="0"/>
    <x v="1"/>
  </r>
  <r>
    <s v="ORD191"/>
    <s v="C017"/>
    <s v="T-Shirt"/>
    <n v="4"/>
    <b v="0"/>
    <x v="1"/>
  </r>
  <r>
    <s v="ORD192"/>
    <s v="C103"/>
    <s v="T-Shirt"/>
    <n v="3"/>
    <b v="1"/>
    <x v="0"/>
  </r>
  <r>
    <s v="ORD193"/>
    <s v="C041"/>
    <s v="Hoodie"/>
    <n v="4"/>
    <b v="0"/>
    <x v="1"/>
  </r>
  <r>
    <s v="ORD194"/>
    <s v="C016"/>
    <s v="Hoodie"/>
    <n v="1"/>
    <b v="0"/>
    <x v="1"/>
  </r>
  <r>
    <s v="ORD195"/>
    <s v="C042"/>
    <s v="Cap"/>
    <n v="3"/>
    <b v="1"/>
    <x v="0"/>
  </r>
  <r>
    <s v="ORD196"/>
    <s v="C059"/>
    <s v="Sneakers"/>
    <n v="3"/>
    <b v="0"/>
    <x v="1"/>
  </r>
  <r>
    <s v="ORD197"/>
    <s v="C075"/>
    <s v="Sneakers"/>
    <n v="1"/>
    <b v="0"/>
    <x v="1"/>
  </r>
  <r>
    <s v="ORD198"/>
    <s v="C110"/>
    <s v="T-Shirt"/>
    <n v="4"/>
    <b v="0"/>
    <x v="1"/>
  </r>
  <r>
    <s v="ORD199"/>
    <s v="C103"/>
    <s v="Cap"/>
    <n v="3"/>
    <b v="1"/>
    <x v="0"/>
  </r>
  <r>
    <s v="ORD200"/>
    <s v="C077"/>
    <s v="Sneakers"/>
    <n v="3"/>
    <b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DFD574-CF27-432B-AEA6-F5D639E25F61}" name="PivotTable1"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items count="7">
        <item x="4"/>
        <item x="5"/>
        <item x="0"/>
        <item x="3"/>
        <item x="1"/>
        <item x="2"/>
        <item t="default"/>
      </items>
    </pivotField>
    <pivotField showAll="0"/>
    <pivotField numFmtId="1" showAll="0"/>
    <pivotField numFmtId="164" showAll="0"/>
    <pivotField dataField="1" numFmtId="164" showAll="0"/>
    <pivotField numFmtId="164" showAll="0"/>
    <pivotField numFmtId="164" showAll="0"/>
    <pivotField showAll="0"/>
    <pivotField showAll="0"/>
  </pivotFields>
  <rowItems count="1">
    <i/>
  </rowItems>
  <colFields count="1">
    <field x="-2"/>
  </colFields>
  <colItems count="2">
    <i>
      <x/>
    </i>
    <i i="1">
      <x v="1"/>
    </i>
  </colItems>
  <dataFields count="2">
    <dataField name="Total Order" fld="0" subtotal="count" baseField="0" baseItem="0"/>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2FD387-1629-4BAB-9558-A82AF3CBD894}" name="PivotTable9"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10" firstHeaderRow="0" firstDataRow="1" firstDataCol="1"/>
  <pivotFields count="13">
    <pivotField dataField="1" showAll="0"/>
    <pivotField showAll="0"/>
    <pivotField showAll="0"/>
    <pivotField showAll="0"/>
    <pivotField showAll="0">
      <items count="7">
        <item h="1" x="4"/>
        <item h="1" x="5"/>
        <item x="0"/>
        <item h="1" x="3"/>
        <item h="1" x="1"/>
        <item h="1" x="2"/>
        <item t="default"/>
      </items>
    </pivotField>
    <pivotField showAll="0">
      <items count="4">
        <item x="2"/>
        <item x="0"/>
        <item x="1"/>
        <item t="default"/>
      </items>
    </pivotField>
    <pivotField numFmtId="1" showAll="0"/>
    <pivotField numFmtId="164" showAll="0"/>
    <pivotField dataField="1" numFmtId="164" showAll="0"/>
    <pivotField numFmtId="164" showAll="0"/>
    <pivotField numFmtId="164" showAll="0"/>
    <pivotField showAll="0">
      <items count="4">
        <item x="0"/>
        <item x="1"/>
        <item x="2"/>
        <item t="default"/>
      </items>
    </pivotField>
    <pivotField axis="axisRow" showAll="0">
      <items count="7">
        <item x="0"/>
        <item x="4"/>
        <item x="5"/>
        <item x="3"/>
        <item x="2"/>
        <item x="1"/>
        <item t="default"/>
      </items>
    </pivotField>
  </pivotFields>
  <rowFields count="1">
    <field x="12"/>
  </rowFields>
  <rowItems count="7">
    <i>
      <x/>
    </i>
    <i>
      <x v="1"/>
    </i>
    <i>
      <x v="2"/>
    </i>
    <i>
      <x v="3"/>
    </i>
    <i>
      <x v="4"/>
    </i>
    <i>
      <x v="5"/>
    </i>
    <i t="grand">
      <x/>
    </i>
  </rowItems>
  <colFields count="1">
    <field x="-2"/>
  </colFields>
  <colItems count="2">
    <i>
      <x/>
    </i>
    <i i="1">
      <x v="1"/>
    </i>
  </colItems>
  <dataFields count="2">
    <dataField name="Sum of Revenue" fld="8" baseField="0" baseItem="0" numFmtId="164"/>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51A1C-90E9-436B-BC7A-8A60592F71A8}" name="PivotTable4"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19" firstHeaderRow="1" firstDataRow="1" firstDataCol="1"/>
  <pivotFields count="13">
    <pivotField dataField="1" showAll="0"/>
    <pivotField showAll="0"/>
    <pivotField showAll="0"/>
    <pivotField showAll="0"/>
    <pivotField showAll="0">
      <items count="7">
        <item x="4"/>
        <item x="5"/>
        <item x="0"/>
        <item x="3"/>
        <item x="1"/>
        <item x="2"/>
        <item t="default"/>
      </items>
    </pivotField>
    <pivotField showAll="0">
      <items count="4">
        <item x="2"/>
        <item x="0"/>
        <item x="1"/>
        <item t="default"/>
      </items>
    </pivotField>
    <pivotField numFmtId="1" showAll="0"/>
    <pivotField numFmtId="164" showAll="0"/>
    <pivotField numFmtId="164" showAll="0"/>
    <pivotField numFmtId="164" showAll="0"/>
    <pivotField numFmtId="164" showAll="0"/>
    <pivotField axis="axisRow" showAll="0">
      <items count="4">
        <item x="0"/>
        <item x="1"/>
        <item x="2"/>
        <item t="default"/>
      </items>
    </pivotField>
    <pivotField showAll="0"/>
  </pivotFields>
  <rowFields count="1">
    <field x="11"/>
  </rowFields>
  <rowItems count="4">
    <i>
      <x/>
    </i>
    <i>
      <x v="1"/>
    </i>
    <i>
      <x v="2"/>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7EDEF0-79AF-416F-9D42-39FF83514400}" name="PivotTable3" cacheId="81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8:B11" firstHeaderRow="1" firstDataRow="1" firstDataCol="1"/>
  <pivotFields count="6">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s>
  <rowFields count="1">
    <field x="5"/>
  </rowFields>
  <rowItems count="3">
    <i>
      <x/>
    </i>
    <i>
      <x v="1"/>
    </i>
    <i t="grand">
      <x/>
    </i>
  </rowItems>
  <colItems count="1">
    <i/>
  </colItems>
  <dataFields count="1">
    <dataField name="Count of Order ID" fld="0"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81F4CE-E9B4-477A-9512-71A5BA8D1ED2}" name="PivotTable2"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30" firstHeaderRow="1" firstDataRow="1" firstDataCol="1"/>
  <pivotFields count="13">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31">
        <item x="4"/>
        <item x="19"/>
        <item x="12"/>
        <item x="26"/>
        <item x="23"/>
        <item x="9"/>
        <item x="27"/>
        <item x="22"/>
        <item x="0"/>
        <item x="10"/>
        <item x="20"/>
        <item x="7"/>
        <item x="24"/>
        <item x="2"/>
        <item x="17"/>
        <item x="13"/>
        <item x="6"/>
        <item x="18"/>
        <item x="11"/>
        <item x="25"/>
        <item x="14"/>
        <item x="16"/>
        <item x="29"/>
        <item x="3"/>
        <item x="15"/>
        <item x="1"/>
        <item x="21"/>
        <item x="28"/>
        <item x="5"/>
        <item x="8"/>
        <item t="default"/>
      </items>
    </pivotField>
    <pivotField showAll="0">
      <items count="2">
        <item x="0"/>
        <item t="default"/>
      </items>
    </pivotField>
    <pivotField showAll="0">
      <items count="98">
        <item x="70"/>
        <item x="25"/>
        <item x="4"/>
        <item x="91"/>
        <item x="15"/>
        <item x="20"/>
        <item x="46"/>
        <item x="48"/>
        <item x="75"/>
        <item x="51"/>
        <item x="0"/>
        <item x="68"/>
        <item x="86"/>
        <item x="74"/>
        <item x="27"/>
        <item x="16"/>
        <item x="93"/>
        <item x="39"/>
        <item x="17"/>
        <item x="1"/>
        <item x="34"/>
        <item x="6"/>
        <item x="7"/>
        <item x="36"/>
        <item x="67"/>
        <item x="92"/>
        <item x="10"/>
        <item x="45"/>
        <item x="64"/>
        <item x="56"/>
        <item x="87"/>
        <item x="80"/>
        <item x="18"/>
        <item x="58"/>
        <item x="5"/>
        <item x="60"/>
        <item x="55"/>
        <item x="69"/>
        <item x="21"/>
        <item x="30"/>
        <item x="94"/>
        <item x="13"/>
        <item x="66"/>
        <item x="96"/>
        <item x="79"/>
        <item x="29"/>
        <item x="83"/>
        <item x="72"/>
        <item x="40"/>
        <item x="63"/>
        <item x="33"/>
        <item x="22"/>
        <item x="62"/>
        <item x="19"/>
        <item x="73"/>
        <item x="41"/>
        <item x="24"/>
        <item x="23"/>
        <item x="2"/>
        <item x="47"/>
        <item x="26"/>
        <item x="8"/>
        <item x="78"/>
        <item x="77"/>
        <item x="53"/>
        <item x="89"/>
        <item x="12"/>
        <item x="42"/>
        <item x="71"/>
        <item x="82"/>
        <item x="28"/>
        <item x="9"/>
        <item x="31"/>
        <item x="95"/>
        <item x="52"/>
        <item x="59"/>
        <item x="85"/>
        <item x="81"/>
        <item x="57"/>
        <item x="61"/>
        <item x="3"/>
        <item x="88"/>
        <item x="37"/>
        <item x="50"/>
        <item x="32"/>
        <item x="14"/>
        <item x="76"/>
        <item x="11"/>
        <item x="65"/>
        <item x="38"/>
        <item x="43"/>
        <item x="49"/>
        <item x="84"/>
        <item x="44"/>
        <item x="35"/>
        <item x="54"/>
        <item x="90"/>
        <item t="default"/>
      </items>
    </pivotField>
    <pivotField axis="axisRow" showAll="0">
      <items count="7">
        <item x="4"/>
        <item x="5"/>
        <item x="0"/>
        <item x="3"/>
        <item x="1"/>
        <item x="2"/>
        <item t="default"/>
      </items>
    </pivotField>
    <pivotField showAll="0">
      <items count="4">
        <item x="2"/>
        <item x="0"/>
        <item x="1"/>
        <item t="default"/>
      </items>
    </pivotField>
    <pivotField numFmtId="1" showAll="0"/>
    <pivotField numFmtId="164" showAll="0"/>
    <pivotField dataField="1" numFmtId="164" showAll="0"/>
    <pivotField numFmtId="164" showAll="0"/>
    <pivotField numFmtId="164" showAll="0"/>
    <pivotField showAll="0"/>
    <pivotField showAll="0"/>
  </pivotFields>
  <rowFields count="1">
    <field x="4"/>
  </rowFields>
  <rowItems count="7">
    <i>
      <x/>
    </i>
    <i>
      <x v="1"/>
    </i>
    <i>
      <x v="2"/>
    </i>
    <i>
      <x v="3"/>
    </i>
    <i>
      <x v="4"/>
    </i>
    <i>
      <x v="5"/>
    </i>
    <i t="grand">
      <x/>
    </i>
  </rowItems>
  <colItems count="1">
    <i/>
  </colItems>
  <dataFields count="1">
    <dataField name="Sum of Revenue" fld="8" baseField="0" baseItem="0" numFmtId="164"/>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2195E6-C8A4-4C46-8F02-5955ECB5B9F2}" name="PivotTable5" cacheId="81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4:K10" firstHeaderRow="0" firstDataRow="1" firstDataCol="1"/>
  <pivotFields count="13">
    <pivotField showAll="0"/>
    <pivotField showAll="0"/>
    <pivotField showAll="0"/>
    <pivotField showAll="0"/>
    <pivotField axis="axisRow" showAll="0">
      <items count="7">
        <item x="4"/>
        <item x="5"/>
        <item x="0"/>
        <item x="3"/>
        <item x="1"/>
        <item x="2"/>
        <item t="default"/>
      </items>
    </pivotField>
    <pivotField showAll="0"/>
    <pivotField dataField="1" numFmtId="1" showAll="0"/>
    <pivotField numFmtId="164" showAll="0"/>
    <pivotField dataField="1" numFmtId="164" showAll="0"/>
    <pivotField numFmtId="164" showAll="0"/>
    <pivotField dataField="1" numFmtId="164" showAll="0"/>
    <pivotField showAll="0"/>
    <pivotField showAll="0"/>
  </pivotFields>
  <rowFields count="1">
    <field x="4"/>
  </rowFields>
  <rowItems count="6">
    <i>
      <x/>
    </i>
    <i>
      <x v="1"/>
    </i>
    <i>
      <x v="2"/>
    </i>
    <i>
      <x v="3"/>
    </i>
    <i>
      <x v="4"/>
    </i>
    <i>
      <x v="5"/>
    </i>
  </rowItems>
  <colFields count="1">
    <field x="-2"/>
  </colFields>
  <colItems count="3">
    <i>
      <x/>
    </i>
    <i i="1">
      <x v="1"/>
    </i>
    <i i="2">
      <x v="2"/>
    </i>
  </colItems>
  <dataFields count="3">
    <dataField name="Sum of Profit" fld="10" baseField="0" baseItem="0" numFmtId="164"/>
    <dataField name="Sum of Revenue" fld="8" baseField="0" baseItem="0" numFmtId="164"/>
    <dataField name="Sum of Quantit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20829C-121D-4648-8482-A9B53856E0FC}" sourceName="Product">
  <pivotTables>
    <pivotTable tabId="2" name="PivotTable9"/>
  </pivotTables>
  <data>
    <tabular pivotCacheId="2118281104">
      <items count="6">
        <i x="4"/>
        <i x="5"/>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604BDC5-30B8-4B1B-874A-E998CEB271F4}" sourceName="Payment Mode">
  <pivotTables>
    <pivotTable tabId="2" name="PivotTable9"/>
  </pivotTables>
  <data>
    <tabular pivotCacheId="21182811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732ABE-31AA-4FAD-AB1A-D4D6F111D936}" sourceName="City">
  <pivotTables>
    <pivotTable tabId="2" name="PivotTable9"/>
  </pivotTables>
  <data>
    <tabular pivotCacheId="2118281104">
      <items count="6">
        <i x="0" s="1"/>
        <i x="4" s="1"/>
        <i x="5"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C77F80E-A202-41B5-A548-F32E028958B8}" cache="Slicer_Product" caption="Product" rowHeight="241300"/>
  <slicer name="Payment Mode" xr10:uid="{8B96568D-44B4-4CC5-BAEB-5B27C2E59D89}" cache="Slicer_Payment_Mode" caption="Payment Mode" rowHeight="241300"/>
  <slicer name="City" xr10:uid="{4D405E5D-114D-426A-ADA3-5C1D1FF312B6}"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F09F-39AD-4573-B151-9E8B53FC2BC1}" name="Table1" displayName="Table1" ref="A1:M201" totalsRowShown="0" headerRowDxfId="13" headerRowBorderDxfId="11" tableBorderDxfId="12">
  <autoFilter ref="A1:M201" xr:uid="{B754F09F-39AD-4573-B151-9E8B53FC2BC1}"/>
  <tableColumns count="13">
    <tableColumn id="1" xr3:uid="{D1F21A78-221D-416B-A4C4-D29F4B75A82F}" name="Order ID"/>
    <tableColumn id="2" xr3:uid="{24104258-0981-4717-BD21-01002919102F}" name="Order Date" dataDxfId="10"/>
    <tableColumn id="3" xr3:uid="{91D422FB-D4A2-4B5B-AA41-738D58D0D23E}" name="Month" dataDxfId="9">
      <calculatedColumnFormula>TEXT(B2,"MMM-YYYY")</calculatedColumnFormula>
    </tableColumn>
    <tableColumn id="4" xr3:uid="{39338981-BACC-463C-94FD-60D69E13489D}" name="Customer ID"/>
    <tableColumn id="5" xr3:uid="{32FD8D46-6462-4EFD-AD1E-D7877E66B9F9}" name="Product"/>
    <tableColumn id="6" xr3:uid="{63D79819-AE4D-488A-8642-B3E4CF9F65C2}" name="Category"/>
    <tableColumn id="7" xr3:uid="{90E048D0-5FED-46C8-83CD-7D281A0D35DA}" name="Quantity" dataDxfId="8"/>
    <tableColumn id="8" xr3:uid="{50BA2865-E639-4F69-8BCF-696BD491D204}" name="Unit Price" dataDxfId="7"/>
    <tableColumn id="9" xr3:uid="{DC44C33A-FA0F-4A58-B51E-BA71BABA5103}" name="Revenue" dataDxfId="6"/>
    <tableColumn id="10" xr3:uid="{7372AEC5-1799-4C6E-A5E8-EFA05103D67E}" name="Cost" dataDxfId="5"/>
    <tableColumn id="11" xr3:uid="{96BE6331-901F-4FD7-A3D4-527DE3BEE7ED}" name="Profit" dataDxfId="4"/>
    <tableColumn id="12" xr3:uid="{781C5EE7-DD30-4D88-9625-CE2B16E863C1}" name="Payment Mode"/>
    <tableColumn id="13" xr3:uid="{8D4C0377-ECD6-44D1-94B1-6D095EF61970}" name="C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pane ySplit="1" topLeftCell="A4" activePane="bottomLeft" state="frozen"/>
      <selection pane="bottomLeft" activeCell="F20" sqref="F20"/>
    </sheetView>
  </sheetViews>
  <sheetFormatPr defaultRowHeight="15"/>
  <cols>
    <col min="1" max="1" width="10.5703125" customWidth="1"/>
    <col min="2" max="2" width="12.85546875" style="1" customWidth="1"/>
    <col min="3" max="3" width="10.7109375" style="1" customWidth="1"/>
    <col min="4" max="4" width="14" customWidth="1"/>
    <col min="5" max="5" width="10" customWidth="1"/>
    <col min="6" max="6" width="11.28515625" bestFit="1" customWidth="1"/>
    <col min="7" max="7" width="10.85546875" style="2" customWidth="1"/>
    <col min="8" max="8" width="11.85546875" style="3" customWidth="1"/>
    <col min="9" max="9" width="12.7109375" style="3" bestFit="1" customWidth="1"/>
    <col min="10" max="10" width="10.140625" style="3" bestFit="1" customWidth="1"/>
    <col min="11" max="11" width="9.140625" style="3" bestFit="1" customWidth="1"/>
    <col min="12" max="12" width="16.7109375" customWidth="1"/>
    <col min="13" max="13" width="10.28515625" bestFit="1" customWidth="1"/>
    <col min="14" max="14" width="13.85546875" bestFit="1" customWidth="1"/>
    <col min="15" max="15" width="11.85546875" bestFit="1" customWidth="1"/>
    <col min="16" max="17" width="19.7109375" bestFit="1" customWidth="1"/>
    <col min="18" max="18" width="10.5703125" bestFit="1" customWidth="1"/>
  </cols>
  <sheetData>
    <row r="1" spans="1:16">
      <c r="A1" s="6" t="s">
        <v>0</v>
      </c>
      <c r="B1" s="7" t="s">
        <v>1</v>
      </c>
      <c r="C1" s="7" t="s">
        <v>2</v>
      </c>
      <c r="D1" s="6" t="s">
        <v>3</v>
      </c>
      <c r="E1" s="6" t="s">
        <v>4</v>
      </c>
      <c r="F1" s="6" t="s">
        <v>5</v>
      </c>
      <c r="G1" s="8" t="s">
        <v>6</v>
      </c>
      <c r="H1" s="9" t="s">
        <v>7</v>
      </c>
      <c r="I1" s="9" t="s">
        <v>8</v>
      </c>
      <c r="J1" s="9" t="s">
        <v>9</v>
      </c>
      <c r="K1" s="9" t="s">
        <v>10</v>
      </c>
      <c r="L1" s="6" t="s">
        <v>11</v>
      </c>
      <c r="M1" s="6" t="s">
        <v>12</v>
      </c>
      <c r="N1" s="36"/>
      <c r="O1" s="37"/>
      <c r="P1" s="38"/>
    </row>
    <row r="2" spans="1:16">
      <c r="A2" t="s">
        <v>13</v>
      </c>
      <c r="B2" s="1" t="s">
        <v>14</v>
      </c>
      <c r="C2" s="1" t="str">
        <f>TEXT(B2,"MMM-YYYY")</f>
        <v>Jan-2025</v>
      </c>
      <c r="D2" t="s">
        <v>15</v>
      </c>
      <c r="E2" t="s">
        <v>16</v>
      </c>
      <c r="F2" t="s">
        <v>17</v>
      </c>
      <c r="G2" s="2">
        <v>1</v>
      </c>
      <c r="H2" s="3">
        <v>2500</v>
      </c>
      <c r="I2" s="3">
        <v>2500</v>
      </c>
      <c r="J2" s="3">
        <v>1800</v>
      </c>
      <c r="K2" s="3">
        <v>700</v>
      </c>
      <c r="L2" t="s">
        <v>18</v>
      </c>
      <c r="M2" t="s">
        <v>19</v>
      </c>
      <c r="N2" s="4"/>
      <c r="P2" s="5"/>
    </row>
    <row r="3" spans="1:16">
      <c r="A3" t="s">
        <v>20</v>
      </c>
      <c r="B3" s="1" t="s">
        <v>21</v>
      </c>
      <c r="C3" s="1" t="str">
        <f t="shared" ref="C3:C66" si="0">TEXT(B3,"MMM-YYYY")</f>
        <v>Jan-2025</v>
      </c>
      <c r="D3" t="s">
        <v>22</v>
      </c>
      <c r="E3" t="s">
        <v>23</v>
      </c>
      <c r="F3" t="s">
        <v>24</v>
      </c>
      <c r="G3" s="2">
        <v>4</v>
      </c>
      <c r="H3" s="3">
        <v>4000</v>
      </c>
      <c r="I3" s="3">
        <v>16000</v>
      </c>
      <c r="J3" s="3">
        <v>12000</v>
      </c>
      <c r="K3" s="3">
        <v>4000</v>
      </c>
      <c r="L3" t="s">
        <v>25</v>
      </c>
      <c r="M3" t="s">
        <v>19</v>
      </c>
    </row>
    <row r="4" spans="1:16">
      <c r="A4" t="s">
        <v>26</v>
      </c>
      <c r="B4" s="1" t="s">
        <v>27</v>
      </c>
      <c r="C4" s="1" t="str">
        <f t="shared" si="0"/>
        <v>Jan-2025</v>
      </c>
      <c r="D4" t="s">
        <v>28</v>
      </c>
      <c r="E4" t="s">
        <v>29</v>
      </c>
      <c r="F4" t="s">
        <v>17</v>
      </c>
      <c r="G4" s="2">
        <v>4</v>
      </c>
      <c r="H4" s="3">
        <v>1200</v>
      </c>
      <c r="I4" s="3">
        <v>4800</v>
      </c>
      <c r="J4" s="3">
        <v>3200</v>
      </c>
      <c r="K4" s="3">
        <v>1600</v>
      </c>
      <c r="L4" t="s">
        <v>25</v>
      </c>
      <c r="M4" t="s">
        <v>30</v>
      </c>
    </row>
    <row r="5" spans="1:16">
      <c r="A5" t="s">
        <v>31</v>
      </c>
      <c r="B5" s="1" t="s">
        <v>32</v>
      </c>
      <c r="C5" s="1" t="str">
        <f t="shared" si="0"/>
        <v>Jan-2025</v>
      </c>
      <c r="D5" t="s">
        <v>33</v>
      </c>
      <c r="E5" t="s">
        <v>23</v>
      </c>
      <c r="F5" t="s">
        <v>24</v>
      </c>
      <c r="G5" s="2">
        <v>3</v>
      </c>
      <c r="H5" s="3">
        <v>4000</v>
      </c>
      <c r="I5" s="3">
        <v>12000</v>
      </c>
      <c r="J5" s="3">
        <v>9000</v>
      </c>
      <c r="K5" s="3">
        <v>3000</v>
      </c>
      <c r="L5" t="s">
        <v>25</v>
      </c>
      <c r="M5" t="s">
        <v>34</v>
      </c>
    </row>
    <row r="6" spans="1:16">
      <c r="A6" t="s">
        <v>35</v>
      </c>
      <c r="B6" s="1" t="s">
        <v>36</v>
      </c>
      <c r="C6" s="1" t="str">
        <f t="shared" si="0"/>
        <v>Jan-2025</v>
      </c>
      <c r="D6" t="s">
        <v>37</v>
      </c>
      <c r="E6" t="s">
        <v>29</v>
      </c>
      <c r="F6" t="s">
        <v>17</v>
      </c>
      <c r="G6" s="2">
        <v>3</v>
      </c>
      <c r="H6" s="3">
        <v>1200</v>
      </c>
      <c r="I6" s="3">
        <v>3600</v>
      </c>
      <c r="J6" s="3">
        <v>2400</v>
      </c>
      <c r="K6" s="3">
        <v>1200</v>
      </c>
      <c r="L6" t="s">
        <v>25</v>
      </c>
      <c r="M6" t="s">
        <v>30</v>
      </c>
    </row>
    <row r="7" spans="1:16">
      <c r="A7" t="s">
        <v>38</v>
      </c>
      <c r="B7" s="1" t="s">
        <v>39</v>
      </c>
      <c r="C7" s="1" t="str">
        <f t="shared" si="0"/>
        <v>Jan-2025</v>
      </c>
      <c r="D7" t="s">
        <v>40</v>
      </c>
      <c r="E7" t="s">
        <v>41</v>
      </c>
      <c r="F7" t="s">
        <v>24</v>
      </c>
      <c r="G7" s="2">
        <v>1</v>
      </c>
      <c r="H7" s="3">
        <v>1800</v>
      </c>
      <c r="I7" s="3">
        <v>1800</v>
      </c>
      <c r="J7" s="3">
        <v>1200</v>
      </c>
      <c r="K7" s="3">
        <v>600</v>
      </c>
      <c r="L7" t="s">
        <v>42</v>
      </c>
      <c r="M7" t="s">
        <v>43</v>
      </c>
    </row>
    <row r="8" spans="1:16">
      <c r="A8" t="s">
        <v>44</v>
      </c>
      <c r="B8" s="1" t="s">
        <v>45</v>
      </c>
      <c r="C8" s="1" t="str">
        <f t="shared" si="0"/>
        <v>Jan-2025</v>
      </c>
      <c r="D8" t="s">
        <v>46</v>
      </c>
      <c r="E8" t="s">
        <v>23</v>
      </c>
      <c r="F8" t="s">
        <v>24</v>
      </c>
      <c r="G8" s="2">
        <v>1</v>
      </c>
      <c r="H8" s="3">
        <v>4000</v>
      </c>
      <c r="I8" s="3">
        <v>4000</v>
      </c>
      <c r="J8" s="3">
        <v>3000</v>
      </c>
      <c r="K8" s="3">
        <v>1000</v>
      </c>
      <c r="L8" t="s">
        <v>18</v>
      </c>
      <c r="M8" t="s">
        <v>19</v>
      </c>
    </row>
    <row r="9" spans="1:16">
      <c r="A9" t="s">
        <v>47</v>
      </c>
      <c r="B9" s="1" t="s">
        <v>48</v>
      </c>
      <c r="C9" s="1" t="str">
        <f t="shared" si="0"/>
        <v>Jan-2025</v>
      </c>
      <c r="D9" t="s">
        <v>49</v>
      </c>
      <c r="E9" t="s">
        <v>41</v>
      </c>
      <c r="F9" t="s">
        <v>24</v>
      </c>
      <c r="G9" s="2">
        <v>2</v>
      </c>
      <c r="H9" s="3">
        <v>1800</v>
      </c>
      <c r="I9" s="3">
        <v>3600</v>
      </c>
      <c r="J9" s="3">
        <v>2400</v>
      </c>
      <c r="K9" s="3">
        <v>1200</v>
      </c>
      <c r="L9" t="s">
        <v>42</v>
      </c>
      <c r="M9" t="s">
        <v>43</v>
      </c>
    </row>
    <row r="10" spans="1:16">
      <c r="A10" t="s">
        <v>50</v>
      </c>
      <c r="B10" s="1" t="s">
        <v>51</v>
      </c>
      <c r="C10" s="1" t="str">
        <f t="shared" si="0"/>
        <v>Jan-2025</v>
      </c>
      <c r="D10" t="s">
        <v>37</v>
      </c>
      <c r="E10" t="s">
        <v>23</v>
      </c>
      <c r="F10" t="s">
        <v>24</v>
      </c>
      <c r="G10" s="2">
        <v>3</v>
      </c>
      <c r="H10" s="3">
        <v>4000</v>
      </c>
      <c r="I10" s="3">
        <v>12000</v>
      </c>
      <c r="J10" s="3">
        <v>9000</v>
      </c>
      <c r="K10" s="3">
        <v>3000</v>
      </c>
      <c r="L10" t="s">
        <v>18</v>
      </c>
      <c r="M10" t="s">
        <v>34</v>
      </c>
    </row>
    <row r="11" spans="1:16">
      <c r="A11" t="s">
        <v>52</v>
      </c>
      <c r="B11" s="1" t="s">
        <v>53</v>
      </c>
      <c r="C11" s="1" t="str">
        <f t="shared" si="0"/>
        <v>Jan-2025</v>
      </c>
      <c r="D11" t="s">
        <v>54</v>
      </c>
      <c r="E11" t="s">
        <v>55</v>
      </c>
      <c r="F11" t="s">
        <v>56</v>
      </c>
      <c r="G11" s="2">
        <v>1</v>
      </c>
      <c r="H11" s="3">
        <v>800</v>
      </c>
      <c r="I11" s="3">
        <v>800</v>
      </c>
      <c r="J11" s="3">
        <v>400</v>
      </c>
      <c r="K11" s="3">
        <v>400</v>
      </c>
      <c r="L11" t="s">
        <v>42</v>
      </c>
      <c r="M11" t="s">
        <v>57</v>
      </c>
    </row>
    <row r="12" spans="1:16">
      <c r="A12" t="s">
        <v>58</v>
      </c>
      <c r="B12" s="1" t="s">
        <v>39</v>
      </c>
      <c r="C12" s="1" t="str">
        <f t="shared" si="0"/>
        <v>Jan-2025</v>
      </c>
      <c r="D12" t="s">
        <v>59</v>
      </c>
      <c r="E12" t="s">
        <v>29</v>
      </c>
      <c r="F12" t="s">
        <v>17</v>
      </c>
      <c r="G12" s="2">
        <v>3</v>
      </c>
      <c r="H12" s="3">
        <v>1200</v>
      </c>
      <c r="I12" s="3">
        <v>3600</v>
      </c>
      <c r="J12" s="3">
        <v>2400</v>
      </c>
      <c r="K12" s="3">
        <v>1200</v>
      </c>
      <c r="L12" t="s">
        <v>42</v>
      </c>
      <c r="M12" t="s">
        <v>34</v>
      </c>
    </row>
    <row r="13" spans="1:16">
      <c r="A13" t="s">
        <v>60</v>
      </c>
      <c r="B13" s="1" t="s">
        <v>61</v>
      </c>
      <c r="C13" s="1" t="str">
        <f t="shared" si="0"/>
        <v>Jan-2025</v>
      </c>
      <c r="D13" t="s">
        <v>62</v>
      </c>
      <c r="E13" t="s">
        <v>23</v>
      </c>
      <c r="F13" t="s">
        <v>24</v>
      </c>
      <c r="G13" s="2">
        <v>2</v>
      </c>
      <c r="H13" s="3">
        <v>4000</v>
      </c>
      <c r="I13" s="3">
        <v>8000</v>
      </c>
      <c r="J13" s="3">
        <v>6000</v>
      </c>
      <c r="K13" s="3">
        <v>2000</v>
      </c>
      <c r="L13" t="s">
        <v>42</v>
      </c>
      <c r="M13" t="s">
        <v>19</v>
      </c>
    </row>
    <row r="14" spans="1:16">
      <c r="A14" t="s">
        <v>63</v>
      </c>
      <c r="B14" s="1" t="s">
        <v>64</v>
      </c>
      <c r="C14" s="1" t="str">
        <f t="shared" si="0"/>
        <v>Jan-2025</v>
      </c>
      <c r="D14" t="s">
        <v>65</v>
      </c>
      <c r="E14" t="s">
        <v>41</v>
      </c>
      <c r="F14" t="s">
        <v>24</v>
      </c>
      <c r="G14" s="2">
        <v>4</v>
      </c>
      <c r="H14" s="3">
        <v>1800</v>
      </c>
      <c r="I14" s="3">
        <v>7200</v>
      </c>
      <c r="J14" s="3">
        <v>4800</v>
      </c>
      <c r="K14" s="3">
        <v>2400</v>
      </c>
      <c r="L14" t="s">
        <v>25</v>
      </c>
      <c r="M14" t="s">
        <v>19</v>
      </c>
    </row>
    <row r="15" spans="1:16">
      <c r="A15" t="s">
        <v>66</v>
      </c>
      <c r="B15" s="1" t="s">
        <v>27</v>
      </c>
      <c r="C15" s="1" t="str">
        <f t="shared" si="0"/>
        <v>Jan-2025</v>
      </c>
      <c r="D15" t="s">
        <v>67</v>
      </c>
      <c r="E15" t="s">
        <v>16</v>
      </c>
      <c r="F15" t="s">
        <v>17</v>
      </c>
      <c r="G15" s="2">
        <v>4</v>
      </c>
      <c r="H15" s="3">
        <v>2500</v>
      </c>
      <c r="I15" s="3">
        <v>10000</v>
      </c>
      <c r="J15" s="3">
        <v>7200</v>
      </c>
      <c r="K15" s="3">
        <v>2800</v>
      </c>
      <c r="L15" t="s">
        <v>25</v>
      </c>
      <c r="M15" t="s">
        <v>57</v>
      </c>
    </row>
    <row r="16" spans="1:16">
      <c r="A16" t="s">
        <v>68</v>
      </c>
      <c r="B16" s="1" t="s">
        <v>69</v>
      </c>
      <c r="C16" s="1" t="str">
        <f t="shared" si="0"/>
        <v>Jan-2025</v>
      </c>
      <c r="D16" t="s">
        <v>70</v>
      </c>
      <c r="E16" t="s">
        <v>41</v>
      </c>
      <c r="F16" t="s">
        <v>24</v>
      </c>
      <c r="G16" s="2">
        <v>3</v>
      </c>
      <c r="H16" s="3">
        <v>1800</v>
      </c>
      <c r="I16" s="3">
        <v>5400</v>
      </c>
      <c r="J16" s="3">
        <v>3600</v>
      </c>
      <c r="K16" s="3">
        <v>1800</v>
      </c>
      <c r="L16" t="s">
        <v>42</v>
      </c>
      <c r="M16" t="s">
        <v>34</v>
      </c>
    </row>
    <row r="17" spans="1:13">
      <c r="A17" t="s">
        <v>71</v>
      </c>
      <c r="B17" s="1" t="s">
        <v>45</v>
      </c>
      <c r="C17" s="1" t="str">
        <f t="shared" si="0"/>
        <v>Jan-2025</v>
      </c>
      <c r="D17" t="s">
        <v>72</v>
      </c>
      <c r="E17" t="s">
        <v>29</v>
      </c>
      <c r="F17" t="s">
        <v>17</v>
      </c>
      <c r="G17" s="2">
        <v>2</v>
      </c>
      <c r="H17" s="3">
        <v>1200</v>
      </c>
      <c r="I17" s="3">
        <v>2400</v>
      </c>
      <c r="J17" s="3">
        <v>1600</v>
      </c>
      <c r="K17" s="3">
        <v>800</v>
      </c>
      <c r="L17" t="s">
        <v>18</v>
      </c>
      <c r="M17" t="s">
        <v>57</v>
      </c>
    </row>
    <row r="18" spans="1:13">
      <c r="A18" t="s">
        <v>73</v>
      </c>
      <c r="B18" s="1" t="s">
        <v>74</v>
      </c>
      <c r="C18" s="1" t="str">
        <f t="shared" si="0"/>
        <v>Jan-2025</v>
      </c>
      <c r="D18" t="s">
        <v>75</v>
      </c>
      <c r="E18" t="s">
        <v>23</v>
      </c>
      <c r="F18" t="s">
        <v>24</v>
      </c>
      <c r="G18" s="2">
        <v>1</v>
      </c>
      <c r="H18" s="3">
        <v>4000</v>
      </c>
      <c r="I18" s="3">
        <v>4000</v>
      </c>
      <c r="J18" s="3">
        <v>3000</v>
      </c>
      <c r="K18" s="3">
        <v>1000</v>
      </c>
      <c r="L18" t="s">
        <v>18</v>
      </c>
      <c r="M18" t="s">
        <v>30</v>
      </c>
    </row>
    <row r="19" spans="1:13">
      <c r="A19" t="s">
        <v>76</v>
      </c>
      <c r="B19" s="1" t="s">
        <v>77</v>
      </c>
      <c r="C19" s="1" t="str">
        <f t="shared" si="0"/>
        <v>Jan-2025</v>
      </c>
      <c r="D19" t="s">
        <v>78</v>
      </c>
      <c r="E19" t="s">
        <v>41</v>
      </c>
      <c r="F19" t="s">
        <v>24</v>
      </c>
      <c r="G19" s="2">
        <v>4</v>
      </c>
      <c r="H19" s="3">
        <v>1800</v>
      </c>
      <c r="I19" s="3">
        <v>7200</v>
      </c>
      <c r="J19" s="3">
        <v>4800</v>
      </c>
      <c r="K19" s="3">
        <v>2400</v>
      </c>
      <c r="L19" t="s">
        <v>25</v>
      </c>
      <c r="M19" t="s">
        <v>34</v>
      </c>
    </row>
    <row r="20" spans="1:13">
      <c r="A20" t="s">
        <v>79</v>
      </c>
      <c r="B20" s="1" t="s">
        <v>80</v>
      </c>
      <c r="C20" s="1" t="str">
        <f t="shared" si="0"/>
        <v>Jan-2025</v>
      </c>
      <c r="D20" t="s">
        <v>81</v>
      </c>
      <c r="E20" t="s">
        <v>16</v>
      </c>
      <c r="F20" t="s">
        <v>17</v>
      </c>
      <c r="G20" s="2">
        <v>1</v>
      </c>
      <c r="H20" s="3">
        <v>2500</v>
      </c>
      <c r="I20" s="3">
        <v>2500</v>
      </c>
      <c r="J20" s="3">
        <v>1800</v>
      </c>
      <c r="K20" s="3">
        <v>700</v>
      </c>
      <c r="L20" t="s">
        <v>42</v>
      </c>
      <c r="M20" t="s">
        <v>34</v>
      </c>
    </row>
    <row r="21" spans="1:13">
      <c r="A21" t="s">
        <v>82</v>
      </c>
      <c r="B21" s="1" t="s">
        <v>45</v>
      </c>
      <c r="C21" s="1" t="str">
        <f t="shared" si="0"/>
        <v>Jan-2025</v>
      </c>
      <c r="D21" t="s">
        <v>83</v>
      </c>
      <c r="E21" t="s">
        <v>16</v>
      </c>
      <c r="F21" t="s">
        <v>17</v>
      </c>
      <c r="G21" s="2">
        <v>4</v>
      </c>
      <c r="H21" s="3">
        <v>2500</v>
      </c>
      <c r="I21" s="3">
        <v>10000</v>
      </c>
      <c r="J21" s="3">
        <v>7200</v>
      </c>
      <c r="K21" s="3">
        <v>2800</v>
      </c>
      <c r="L21" t="s">
        <v>42</v>
      </c>
      <c r="M21" t="s">
        <v>57</v>
      </c>
    </row>
    <row r="22" spans="1:13">
      <c r="A22" t="s">
        <v>84</v>
      </c>
      <c r="B22" s="1" t="s">
        <v>85</v>
      </c>
      <c r="C22" s="1" t="str">
        <f t="shared" si="0"/>
        <v>Jan-2025</v>
      </c>
      <c r="D22" t="s">
        <v>86</v>
      </c>
      <c r="E22" t="s">
        <v>23</v>
      </c>
      <c r="F22" t="s">
        <v>24</v>
      </c>
      <c r="G22" s="2">
        <v>3</v>
      </c>
      <c r="H22" s="3">
        <v>4000</v>
      </c>
      <c r="I22" s="3">
        <v>12000</v>
      </c>
      <c r="J22" s="3">
        <v>9000</v>
      </c>
      <c r="K22" s="3">
        <v>3000</v>
      </c>
      <c r="L22" t="s">
        <v>42</v>
      </c>
      <c r="M22" t="s">
        <v>30</v>
      </c>
    </row>
    <row r="23" spans="1:13">
      <c r="A23" t="s">
        <v>87</v>
      </c>
      <c r="B23" s="1" t="s">
        <v>21</v>
      </c>
      <c r="C23" s="1" t="str">
        <f t="shared" si="0"/>
        <v>Jan-2025</v>
      </c>
      <c r="D23" t="s">
        <v>65</v>
      </c>
      <c r="E23" t="s">
        <v>29</v>
      </c>
      <c r="F23" t="s">
        <v>17</v>
      </c>
      <c r="G23" s="2">
        <v>4</v>
      </c>
      <c r="H23" s="3">
        <v>1200</v>
      </c>
      <c r="I23" s="3">
        <v>4800</v>
      </c>
      <c r="J23" s="3">
        <v>3200</v>
      </c>
      <c r="K23" s="3">
        <v>1600</v>
      </c>
      <c r="L23" t="s">
        <v>42</v>
      </c>
      <c r="M23" t="s">
        <v>34</v>
      </c>
    </row>
    <row r="24" spans="1:13">
      <c r="A24" t="s">
        <v>88</v>
      </c>
      <c r="B24" s="1" t="s">
        <v>27</v>
      </c>
      <c r="C24" s="1" t="str">
        <f t="shared" si="0"/>
        <v>Jan-2025</v>
      </c>
      <c r="D24" t="s">
        <v>89</v>
      </c>
      <c r="E24" t="s">
        <v>16</v>
      </c>
      <c r="F24" t="s">
        <v>17</v>
      </c>
      <c r="G24" s="2">
        <v>2</v>
      </c>
      <c r="H24" s="3">
        <v>2500</v>
      </c>
      <c r="I24" s="3">
        <v>5000</v>
      </c>
      <c r="J24" s="3">
        <v>3600</v>
      </c>
      <c r="K24" s="3">
        <v>1400</v>
      </c>
      <c r="L24" t="s">
        <v>18</v>
      </c>
      <c r="M24" t="s">
        <v>57</v>
      </c>
    </row>
    <row r="25" spans="1:13">
      <c r="A25" t="s">
        <v>90</v>
      </c>
      <c r="B25" s="1" t="s">
        <v>45</v>
      </c>
      <c r="C25" s="1" t="str">
        <f t="shared" si="0"/>
        <v>Jan-2025</v>
      </c>
      <c r="D25" t="s">
        <v>91</v>
      </c>
      <c r="E25" t="s">
        <v>41</v>
      </c>
      <c r="F25" t="s">
        <v>24</v>
      </c>
      <c r="G25" s="2">
        <v>2</v>
      </c>
      <c r="H25" s="3">
        <v>1800</v>
      </c>
      <c r="I25" s="3">
        <v>3600</v>
      </c>
      <c r="J25" s="3">
        <v>2400</v>
      </c>
      <c r="K25" s="3">
        <v>1200</v>
      </c>
      <c r="L25" t="s">
        <v>18</v>
      </c>
      <c r="M25" t="s">
        <v>57</v>
      </c>
    </row>
    <row r="26" spans="1:13">
      <c r="A26" t="s">
        <v>92</v>
      </c>
      <c r="B26" s="1" t="s">
        <v>36</v>
      </c>
      <c r="C26" s="1" t="str">
        <f t="shared" si="0"/>
        <v>Jan-2025</v>
      </c>
      <c r="D26" t="s">
        <v>93</v>
      </c>
      <c r="E26" t="s">
        <v>23</v>
      </c>
      <c r="F26" t="s">
        <v>24</v>
      </c>
      <c r="G26" s="2">
        <v>3</v>
      </c>
      <c r="H26" s="3">
        <v>4000</v>
      </c>
      <c r="I26" s="3">
        <v>12000</v>
      </c>
      <c r="J26" s="3">
        <v>9000</v>
      </c>
      <c r="K26" s="3">
        <v>3000</v>
      </c>
      <c r="L26" t="s">
        <v>42</v>
      </c>
      <c r="M26" t="s">
        <v>34</v>
      </c>
    </row>
    <row r="27" spans="1:13">
      <c r="A27" t="s">
        <v>94</v>
      </c>
      <c r="B27" s="1" t="s">
        <v>95</v>
      </c>
      <c r="C27" s="1" t="str">
        <f t="shared" si="0"/>
        <v>Jan-2025</v>
      </c>
      <c r="D27" t="s">
        <v>96</v>
      </c>
      <c r="E27" t="s">
        <v>41</v>
      </c>
      <c r="F27" t="s">
        <v>24</v>
      </c>
      <c r="G27" s="2">
        <v>3</v>
      </c>
      <c r="H27" s="3">
        <v>1800</v>
      </c>
      <c r="I27" s="3">
        <v>5400</v>
      </c>
      <c r="J27" s="3">
        <v>3600</v>
      </c>
      <c r="K27" s="3">
        <v>1800</v>
      </c>
      <c r="L27" t="s">
        <v>25</v>
      </c>
      <c r="M27" t="s">
        <v>43</v>
      </c>
    </row>
    <row r="28" spans="1:13">
      <c r="A28" t="s">
        <v>97</v>
      </c>
      <c r="B28" s="1" t="s">
        <v>98</v>
      </c>
      <c r="C28" s="1" t="str">
        <f t="shared" si="0"/>
        <v>Jan-2025</v>
      </c>
      <c r="D28" t="s">
        <v>99</v>
      </c>
      <c r="E28" t="s">
        <v>55</v>
      </c>
      <c r="F28" t="s">
        <v>56</v>
      </c>
      <c r="G28" s="2">
        <v>2</v>
      </c>
      <c r="H28" s="3">
        <v>800</v>
      </c>
      <c r="I28" s="3">
        <v>1600</v>
      </c>
      <c r="J28" s="3">
        <v>800</v>
      </c>
      <c r="K28" s="3">
        <v>800</v>
      </c>
      <c r="L28" t="s">
        <v>25</v>
      </c>
      <c r="M28" t="s">
        <v>100</v>
      </c>
    </row>
    <row r="29" spans="1:13">
      <c r="A29" t="s">
        <v>101</v>
      </c>
      <c r="B29" s="1" t="s">
        <v>102</v>
      </c>
      <c r="C29" s="1" t="str">
        <f t="shared" si="0"/>
        <v>Jan-2025</v>
      </c>
      <c r="D29" t="s">
        <v>72</v>
      </c>
      <c r="E29" t="s">
        <v>41</v>
      </c>
      <c r="F29" t="s">
        <v>24</v>
      </c>
      <c r="G29" s="2">
        <v>3</v>
      </c>
      <c r="H29" s="3">
        <v>1800</v>
      </c>
      <c r="I29" s="3">
        <v>5400</v>
      </c>
      <c r="J29" s="3">
        <v>3600</v>
      </c>
      <c r="K29" s="3">
        <v>1800</v>
      </c>
      <c r="L29" t="s">
        <v>42</v>
      </c>
      <c r="M29" t="s">
        <v>100</v>
      </c>
    </row>
    <row r="30" spans="1:13">
      <c r="A30" t="s">
        <v>103</v>
      </c>
      <c r="B30" s="1" t="s">
        <v>95</v>
      </c>
      <c r="C30" s="1" t="str">
        <f t="shared" si="0"/>
        <v>Jan-2025</v>
      </c>
      <c r="D30" t="s">
        <v>104</v>
      </c>
      <c r="E30" t="s">
        <v>29</v>
      </c>
      <c r="F30" t="s">
        <v>17</v>
      </c>
      <c r="G30" s="2">
        <v>1</v>
      </c>
      <c r="H30" s="3">
        <v>1200</v>
      </c>
      <c r="I30" s="3">
        <v>1200</v>
      </c>
      <c r="J30" s="3">
        <v>800</v>
      </c>
      <c r="K30" s="3">
        <v>400</v>
      </c>
      <c r="L30" t="s">
        <v>18</v>
      </c>
      <c r="M30" t="s">
        <v>43</v>
      </c>
    </row>
    <row r="31" spans="1:13">
      <c r="A31" t="s">
        <v>105</v>
      </c>
      <c r="B31" s="1" t="s">
        <v>21</v>
      </c>
      <c r="C31" s="1" t="str">
        <f t="shared" si="0"/>
        <v>Jan-2025</v>
      </c>
      <c r="D31" t="s">
        <v>106</v>
      </c>
      <c r="E31" t="s">
        <v>107</v>
      </c>
      <c r="F31" t="s">
        <v>17</v>
      </c>
      <c r="G31" s="2">
        <v>1</v>
      </c>
      <c r="H31" s="3">
        <v>3000</v>
      </c>
      <c r="I31" s="3">
        <v>3000</v>
      </c>
      <c r="J31" s="3">
        <v>2200</v>
      </c>
      <c r="K31" s="3">
        <v>800</v>
      </c>
      <c r="L31" t="s">
        <v>25</v>
      </c>
      <c r="M31" t="s">
        <v>57</v>
      </c>
    </row>
    <row r="32" spans="1:13">
      <c r="A32" t="s">
        <v>108</v>
      </c>
      <c r="B32" s="1" t="s">
        <v>53</v>
      </c>
      <c r="C32" s="1" t="str">
        <f t="shared" si="0"/>
        <v>Jan-2025</v>
      </c>
      <c r="D32" t="s">
        <v>109</v>
      </c>
      <c r="E32" t="s">
        <v>107</v>
      </c>
      <c r="F32" t="s">
        <v>17</v>
      </c>
      <c r="G32" s="2">
        <v>1</v>
      </c>
      <c r="H32" s="3">
        <v>3000</v>
      </c>
      <c r="I32" s="3">
        <v>3000</v>
      </c>
      <c r="J32" s="3">
        <v>2200</v>
      </c>
      <c r="K32" s="3">
        <v>800</v>
      </c>
      <c r="L32" t="s">
        <v>18</v>
      </c>
      <c r="M32" t="s">
        <v>34</v>
      </c>
    </row>
    <row r="33" spans="1:13">
      <c r="A33" t="s">
        <v>110</v>
      </c>
      <c r="B33" s="1" t="s">
        <v>77</v>
      </c>
      <c r="C33" s="1" t="str">
        <f t="shared" si="0"/>
        <v>Jan-2025</v>
      </c>
      <c r="D33" t="s">
        <v>111</v>
      </c>
      <c r="E33" t="s">
        <v>16</v>
      </c>
      <c r="F33" t="s">
        <v>17</v>
      </c>
      <c r="G33" s="2">
        <v>3</v>
      </c>
      <c r="H33" s="3">
        <v>2500</v>
      </c>
      <c r="I33" s="3">
        <v>7500</v>
      </c>
      <c r="J33" s="3">
        <v>5400</v>
      </c>
      <c r="K33" s="3">
        <v>2100</v>
      </c>
      <c r="L33" t="s">
        <v>18</v>
      </c>
      <c r="M33" t="s">
        <v>19</v>
      </c>
    </row>
    <row r="34" spans="1:13">
      <c r="A34" t="s">
        <v>112</v>
      </c>
      <c r="B34" s="1" t="s">
        <v>74</v>
      </c>
      <c r="C34" s="1" t="str">
        <f t="shared" si="0"/>
        <v>Jan-2025</v>
      </c>
      <c r="D34" t="s">
        <v>113</v>
      </c>
      <c r="E34" t="s">
        <v>55</v>
      </c>
      <c r="F34" t="s">
        <v>56</v>
      </c>
      <c r="G34" s="2">
        <v>3</v>
      </c>
      <c r="H34" s="3">
        <v>800</v>
      </c>
      <c r="I34" s="3">
        <v>2400</v>
      </c>
      <c r="J34" s="3">
        <v>1200</v>
      </c>
      <c r="K34" s="3">
        <v>1200</v>
      </c>
      <c r="L34" t="s">
        <v>25</v>
      </c>
      <c r="M34" t="s">
        <v>100</v>
      </c>
    </row>
    <row r="35" spans="1:13">
      <c r="A35" t="s">
        <v>114</v>
      </c>
      <c r="B35" s="1" t="s">
        <v>115</v>
      </c>
      <c r="C35" s="1" t="str">
        <f t="shared" si="0"/>
        <v>Jan-2025</v>
      </c>
      <c r="D35" t="s">
        <v>116</v>
      </c>
      <c r="E35" t="s">
        <v>107</v>
      </c>
      <c r="F35" t="s">
        <v>17</v>
      </c>
      <c r="G35" s="2">
        <v>4</v>
      </c>
      <c r="H35" s="3">
        <v>3000</v>
      </c>
      <c r="I35" s="3">
        <v>12000</v>
      </c>
      <c r="J35" s="3">
        <v>8800</v>
      </c>
      <c r="K35" s="3">
        <v>3200</v>
      </c>
      <c r="L35" t="s">
        <v>25</v>
      </c>
      <c r="M35" t="s">
        <v>57</v>
      </c>
    </row>
    <row r="36" spans="1:13">
      <c r="A36" t="s">
        <v>117</v>
      </c>
      <c r="B36" s="1" t="s">
        <v>39</v>
      </c>
      <c r="C36" s="1" t="str">
        <f t="shared" si="0"/>
        <v>Jan-2025</v>
      </c>
      <c r="D36" t="s">
        <v>118</v>
      </c>
      <c r="E36" t="s">
        <v>29</v>
      </c>
      <c r="F36" t="s">
        <v>17</v>
      </c>
      <c r="G36" s="2">
        <v>3</v>
      </c>
      <c r="H36" s="3">
        <v>1200</v>
      </c>
      <c r="I36" s="3">
        <v>3600</v>
      </c>
      <c r="J36" s="3">
        <v>2400</v>
      </c>
      <c r="K36" s="3">
        <v>1200</v>
      </c>
      <c r="L36" t="s">
        <v>42</v>
      </c>
      <c r="M36" t="s">
        <v>43</v>
      </c>
    </row>
    <row r="37" spans="1:13">
      <c r="A37" t="s">
        <v>119</v>
      </c>
      <c r="B37" s="1" t="s">
        <v>120</v>
      </c>
      <c r="C37" s="1" t="str">
        <f t="shared" si="0"/>
        <v>Jan-2025</v>
      </c>
      <c r="D37" t="s">
        <v>37</v>
      </c>
      <c r="E37" t="s">
        <v>41</v>
      </c>
      <c r="F37" t="s">
        <v>24</v>
      </c>
      <c r="G37" s="2">
        <v>4</v>
      </c>
      <c r="H37" s="3">
        <v>1800</v>
      </c>
      <c r="I37" s="3">
        <v>7200</v>
      </c>
      <c r="J37" s="3">
        <v>4800</v>
      </c>
      <c r="K37" s="3">
        <v>2400</v>
      </c>
      <c r="L37" t="s">
        <v>25</v>
      </c>
      <c r="M37" t="s">
        <v>100</v>
      </c>
    </row>
    <row r="38" spans="1:13">
      <c r="A38" t="s">
        <v>121</v>
      </c>
      <c r="B38" s="1" t="s">
        <v>102</v>
      </c>
      <c r="C38" s="1" t="str">
        <f t="shared" si="0"/>
        <v>Jan-2025</v>
      </c>
      <c r="D38" t="s">
        <v>59</v>
      </c>
      <c r="E38" t="s">
        <v>23</v>
      </c>
      <c r="F38" t="s">
        <v>24</v>
      </c>
      <c r="G38" s="2">
        <v>2</v>
      </c>
      <c r="H38" s="3">
        <v>4000</v>
      </c>
      <c r="I38" s="3">
        <v>8000</v>
      </c>
      <c r="J38" s="3">
        <v>6000</v>
      </c>
      <c r="K38" s="3">
        <v>2000</v>
      </c>
      <c r="L38" t="s">
        <v>25</v>
      </c>
      <c r="M38" t="s">
        <v>19</v>
      </c>
    </row>
    <row r="39" spans="1:13">
      <c r="A39" t="s">
        <v>122</v>
      </c>
      <c r="B39" s="1" t="s">
        <v>98</v>
      </c>
      <c r="C39" s="1" t="str">
        <f t="shared" si="0"/>
        <v>Jan-2025</v>
      </c>
      <c r="D39" t="s">
        <v>123</v>
      </c>
      <c r="E39" t="s">
        <v>55</v>
      </c>
      <c r="F39" t="s">
        <v>56</v>
      </c>
      <c r="G39" s="2">
        <v>4</v>
      </c>
      <c r="H39" s="3">
        <v>800</v>
      </c>
      <c r="I39" s="3">
        <v>3200</v>
      </c>
      <c r="J39" s="3">
        <v>1600</v>
      </c>
      <c r="K39" s="3">
        <v>1600</v>
      </c>
      <c r="L39" t="s">
        <v>25</v>
      </c>
      <c r="M39" t="s">
        <v>30</v>
      </c>
    </row>
    <row r="40" spans="1:13">
      <c r="A40" t="s">
        <v>124</v>
      </c>
      <c r="B40" s="1" t="s">
        <v>125</v>
      </c>
      <c r="C40" s="1" t="str">
        <f t="shared" si="0"/>
        <v>Jan-2025</v>
      </c>
      <c r="D40" t="s">
        <v>126</v>
      </c>
      <c r="E40" t="s">
        <v>55</v>
      </c>
      <c r="F40" t="s">
        <v>56</v>
      </c>
      <c r="G40" s="2">
        <v>4</v>
      </c>
      <c r="H40" s="3">
        <v>800</v>
      </c>
      <c r="I40" s="3">
        <v>3200</v>
      </c>
      <c r="J40" s="3">
        <v>1600</v>
      </c>
      <c r="K40" s="3">
        <v>1600</v>
      </c>
      <c r="L40" t="s">
        <v>42</v>
      </c>
      <c r="M40" t="s">
        <v>100</v>
      </c>
    </row>
    <row r="41" spans="1:13">
      <c r="A41" t="s">
        <v>127</v>
      </c>
      <c r="B41" s="1" t="s">
        <v>85</v>
      </c>
      <c r="C41" s="1" t="str">
        <f t="shared" si="0"/>
        <v>Jan-2025</v>
      </c>
      <c r="D41" t="s">
        <v>54</v>
      </c>
      <c r="E41" t="s">
        <v>23</v>
      </c>
      <c r="F41" t="s">
        <v>24</v>
      </c>
      <c r="G41" s="2">
        <v>3</v>
      </c>
      <c r="H41" s="3">
        <v>4000</v>
      </c>
      <c r="I41" s="3">
        <v>12000</v>
      </c>
      <c r="J41" s="3">
        <v>9000</v>
      </c>
      <c r="K41" s="3">
        <v>3000</v>
      </c>
      <c r="L41" t="s">
        <v>18</v>
      </c>
      <c r="M41" t="s">
        <v>100</v>
      </c>
    </row>
    <row r="42" spans="1:13">
      <c r="A42" t="s">
        <v>128</v>
      </c>
      <c r="B42" s="1" t="s">
        <v>129</v>
      </c>
      <c r="C42" s="1" t="str">
        <f t="shared" si="0"/>
        <v>Jan-2025</v>
      </c>
      <c r="D42" t="s">
        <v>130</v>
      </c>
      <c r="E42" t="s">
        <v>55</v>
      </c>
      <c r="F42" t="s">
        <v>56</v>
      </c>
      <c r="G42" s="2">
        <v>3</v>
      </c>
      <c r="H42" s="3">
        <v>800</v>
      </c>
      <c r="I42" s="3">
        <v>2400</v>
      </c>
      <c r="J42" s="3">
        <v>1200</v>
      </c>
      <c r="K42" s="3">
        <v>1200</v>
      </c>
      <c r="L42" t="s">
        <v>25</v>
      </c>
      <c r="M42" t="s">
        <v>57</v>
      </c>
    </row>
    <row r="43" spans="1:13">
      <c r="A43" t="s">
        <v>131</v>
      </c>
      <c r="B43" s="1" t="s">
        <v>61</v>
      </c>
      <c r="C43" s="1" t="str">
        <f t="shared" si="0"/>
        <v>Jan-2025</v>
      </c>
      <c r="D43" t="s">
        <v>132</v>
      </c>
      <c r="E43" t="s">
        <v>29</v>
      </c>
      <c r="F43" t="s">
        <v>17</v>
      </c>
      <c r="G43" s="2">
        <v>1</v>
      </c>
      <c r="H43" s="3">
        <v>1200</v>
      </c>
      <c r="I43" s="3">
        <v>1200</v>
      </c>
      <c r="J43" s="3">
        <v>800</v>
      </c>
      <c r="K43" s="3">
        <v>400</v>
      </c>
      <c r="L43" t="s">
        <v>18</v>
      </c>
      <c r="M43" t="s">
        <v>30</v>
      </c>
    </row>
    <row r="44" spans="1:13">
      <c r="A44" t="s">
        <v>133</v>
      </c>
      <c r="B44" s="1" t="s">
        <v>64</v>
      </c>
      <c r="C44" s="1" t="str">
        <f t="shared" si="0"/>
        <v>Jan-2025</v>
      </c>
      <c r="D44" t="s">
        <v>134</v>
      </c>
      <c r="E44" t="s">
        <v>16</v>
      </c>
      <c r="F44" t="s">
        <v>17</v>
      </c>
      <c r="G44" s="2">
        <v>4</v>
      </c>
      <c r="H44" s="3">
        <v>2500</v>
      </c>
      <c r="I44" s="3">
        <v>10000</v>
      </c>
      <c r="J44" s="3">
        <v>7200</v>
      </c>
      <c r="K44" s="3">
        <v>2800</v>
      </c>
      <c r="L44" t="s">
        <v>25</v>
      </c>
      <c r="M44" t="s">
        <v>100</v>
      </c>
    </row>
    <row r="45" spans="1:13">
      <c r="A45" t="s">
        <v>135</v>
      </c>
      <c r="B45" s="1" t="s">
        <v>64</v>
      </c>
      <c r="C45" s="1" t="str">
        <f t="shared" si="0"/>
        <v>Jan-2025</v>
      </c>
      <c r="D45" t="s">
        <v>136</v>
      </c>
      <c r="E45" t="s">
        <v>41</v>
      </c>
      <c r="F45" t="s">
        <v>24</v>
      </c>
      <c r="G45" s="2">
        <v>1</v>
      </c>
      <c r="H45" s="3">
        <v>1800</v>
      </c>
      <c r="I45" s="3">
        <v>1800</v>
      </c>
      <c r="J45" s="3">
        <v>1200</v>
      </c>
      <c r="K45" s="3">
        <v>600</v>
      </c>
      <c r="L45" t="s">
        <v>25</v>
      </c>
      <c r="M45" t="s">
        <v>34</v>
      </c>
    </row>
    <row r="46" spans="1:13">
      <c r="A46" t="s">
        <v>137</v>
      </c>
      <c r="B46" s="1" t="s">
        <v>120</v>
      </c>
      <c r="C46" s="1" t="str">
        <f t="shared" si="0"/>
        <v>Jan-2025</v>
      </c>
      <c r="D46" t="s">
        <v>138</v>
      </c>
      <c r="E46" t="s">
        <v>23</v>
      </c>
      <c r="F46" t="s">
        <v>24</v>
      </c>
      <c r="G46" s="2">
        <v>2</v>
      </c>
      <c r="H46" s="3">
        <v>4000</v>
      </c>
      <c r="I46" s="3">
        <v>8000</v>
      </c>
      <c r="J46" s="3">
        <v>6000</v>
      </c>
      <c r="K46" s="3">
        <v>2000</v>
      </c>
      <c r="L46" t="s">
        <v>42</v>
      </c>
      <c r="M46" t="s">
        <v>34</v>
      </c>
    </row>
    <row r="47" spans="1:13">
      <c r="A47" t="s">
        <v>139</v>
      </c>
      <c r="B47" s="1" t="s">
        <v>140</v>
      </c>
      <c r="C47" s="1" t="str">
        <f t="shared" si="0"/>
        <v>Jan-2025</v>
      </c>
      <c r="D47" t="s">
        <v>81</v>
      </c>
      <c r="E47" t="s">
        <v>41</v>
      </c>
      <c r="F47" t="s">
        <v>24</v>
      </c>
      <c r="G47" s="2">
        <v>1</v>
      </c>
      <c r="H47" s="3">
        <v>1800</v>
      </c>
      <c r="I47" s="3">
        <v>1800</v>
      </c>
      <c r="J47" s="3">
        <v>1200</v>
      </c>
      <c r="K47" s="3">
        <v>600</v>
      </c>
      <c r="L47" t="s">
        <v>18</v>
      </c>
      <c r="M47" t="s">
        <v>100</v>
      </c>
    </row>
    <row r="48" spans="1:13">
      <c r="A48" t="s">
        <v>141</v>
      </c>
      <c r="B48" s="1" t="s">
        <v>64</v>
      </c>
      <c r="C48" s="1" t="str">
        <f t="shared" si="0"/>
        <v>Jan-2025</v>
      </c>
      <c r="D48" t="s">
        <v>142</v>
      </c>
      <c r="E48" t="s">
        <v>16</v>
      </c>
      <c r="F48" t="s">
        <v>17</v>
      </c>
      <c r="G48" s="2">
        <v>4</v>
      </c>
      <c r="H48" s="3">
        <v>2500</v>
      </c>
      <c r="I48" s="3">
        <v>10000</v>
      </c>
      <c r="J48" s="3">
        <v>7200</v>
      </c>
      <c r="K48" s="3">
        <v>2800</v>
      </c>
      <c r="L48" t="s">
        <v>18</v>
      </c>
      <c r="M48" t="s">
        <v>100</v>
      </c>
    </row>
    <row r="49" spans="1:13">
      <c r="A49" t="s">
        <v>143</v>
      </c>
      <c r="B49" s="1" t="s">
        <v>61</v>
      </c>
      <c r="C49" s="1" t="str">
        <f t="shared" si="0"/>
        <v>Jan-2025</v>
      </c>
      <c r="D49" t="s">
        <v>144</v>
      </c>
      <c r="E49" t="s">
        <v>55</v>
      </c>
      <c r="F49" t="s">
        <v>56</v>
      </c>
      <c r="G49" s="2">
        <v>4</v>
      </c>
      <c r="H49" s="3">
        <v>800</v>
      </c>
      <c r="I49" s="3">
        <v>3200</v>
      </c>
      <c r="J49" s="3">
        <v>1600</v>
      </c>
      <c r="K49" s="3">
        <v>1600</v>
      </c>
      <c r="L49" t="s">
        <v>18</v>
      </c>
      <c r="M49" t="s">
        <v>100</v>
      </c>
    </row>
    <row r="50" spans="1:13">
      <c r="A50" t="s">
        <v>145</v>
      </c>
      <c r="B50" s="1" t="s">
        <v>39</v>
      </c>
      <c r="C50" s="1" t="str">
        <f t="shared" si="0"/>
        <v>Jan-2025</v>
      </c>
      <c r="D50" t="s">
        <v>62</v>
      </c>
      <c r="E50" t="s">
        <v>107</v>
      </c>
      <c r="F50" t="s">
        <v>17</v>
      </c>
      <c r="G50" s="2">
        <v>4</v>
      </c>
      <c r="H50" s="3">
        <v>3000</v>
      </c>
      <c r="I50" s="3">
        <v>12000</v>
      </c>
      <c r="J50" s="3">
        <v>8800</v>
      </c>
      <c r="K50" s="3">
        <v>3200</v>
      </c>
      <c r="L50" t="s">
        <v>25</v>
      </c>
      <c r="M50" t="s">
        <v>43</v>
      </c>
    </row>
    <row r="51" spans="1:13">
      <c r="A51" t="s">
        <v>146</v>
      </c>
      <c r="B51" s="1" t="s">
        <v>21</v>
      </c>
      <c r="C51" s="1" t="str">
        <f t="shared" si="0"/>
        <v>Jan-2025</v>
      </c>
      <c r="D51" t="s">
        <v>147</v>
      </c>
      <c r="E51" t="s">
        <v>16</v>
      </c>
      <c r="F51" t="s">
        <v>17</v>
      </c>
      <c r="G51" s="2">
        <v>3</v>
      </c>
      <c r="H51" s="3">
        <v>2500</v>
      </c>
      <c r="I51" s="3">
        <v>7500</v>
      </c>
      <c r="J51" s="3">
        <v>5400</v>
      </c>
      <c r="K51" s="3">
        <v>2100</v>
      </c>
      <c r="L51" t="s">
        <v>25</v>
      </c>
      <c r="M51" t="s">
        <v>57</v>
      </c>
    </row>
    <row r="52" spans="1:13">
      <c r="A52" t="s">
        <v>148</v>
      </c>
      <c r="B52" s="1" t="s">
        <v>14</v>
      </c>
      <c r="C52" s="1" t="str">
        <f t="shared" si="0"/>
        <v>Jan-2025</v>
      </c>
      <c r="D52" t="s">
        <v>149</v>
      </c>
      <c r="E52" t="s">
        <v>23</v>
      </c>
      <c r="F52" t="s">
        <v>24</v>
      </c>
      <c r="G52" s="2">
        <v>2</v>
      </c>
      <c r="H52" s="3">
        <v>4000</v>
      </c>
      <c r="I52" s="3">
        <v>8000</v>
      </c>
      <c r="J52" s="3">
        <v>6000</v>
      </c>
      <c r="K52" s="3">
        <v>2000</v>
      </c>
      <c r="L52" t="s">
        <v>25</v>
      </c>
      <c r="M52" t="s">
        <v>19</v>
      </c>
    </row>
    <row r="53" spans="1:13">
      <c r="A53" t="s">
        <v>150</v>
      </c>
      <c r="B53" s="1" t="s">
        <v>51</v>
      </c>
      <c r="C53" s="1" t="str">
        <f t="shared" si="0"/>
        <v>Jan-2025</v>
      </c>
      <c r="D53" t="s">
        <v>151</v>
      </c>
      <c r="E53" t="s">
        <v>41</v>
      </c>
      <c r="F53" t="s">
        <v>24</v>
      </c>
      <c r="G53" s="2">
        <v>3</v>
      </c>
      <c r="H53" s="3">
        <v>1800</v>
      </c>
      <c r="I53" s="3">
        <v>5400</v>
      </c>
      <c r="J53" s="3">
        <v>3600</v>
      </c>
      <c r="K53" s="3">
        <v>1800</v>
      </c>
      <c r="L53" t="s">
        <v>42</v>
      </c>
      <c r="M53" t="s">
        <v>34</v>
      </c>
    </row>
    <row r="54" spans="1:13">
      <c r="A54" t="s">
        <v>152</v>
      </c>
      <c r="B54" s="1" t="s">
        <v>69</v>
      </c>
      <c r="C54" s="1" t="str">
        <f t="shared" si="0"/>
        <v>Jan-2025</v>
      </c>
      <c r="D54" t="s">
        <v>59</v>
      </c>
      <c r="E54" t="s">
        <v>23</v>
      </c>
      <c r="F54" t="s">
        <v>24</v>
      </c>
      <c r="G54" s="2">
        <v>2</v>
      </c>
      <c r="H54" s="3">
        <v>4000</v>
      </c>
      <c r="I54" s="3">
        <v>8000</v>
      </c>
      <c r="J54" s="3">
        <v>6000</v>
      </c>
      <c r="K54" s="3">
        <v>2000</v>
      </c>
      <c r="L54" t="s">
        <v>25</v>
      </c>
      <c r="M54" t="s">
        <v>100</v>
      </c>
    </row>
    <row r="55" spans="1:13">
      <c r="A55" t="s">
        <v>153</v>
      </c>
      <c r="B55" s="1" t="s">
        <v>53</v>
      </c>
      <c r="C55" s="1" t="str">
        <f t="shared" si="0"/>
        <v>Jan-2025</v>
      </c>
      <c r="D55" t="s">
        <v>154</v>
      </c>
      <c r="E55" t="s">
        <v>16</v>
      </c>
      <c r="F55" t="s">
        <v>17</v>
      </c>
      <c r="G55" s="2">
        <v>2</v>
      </c>
      <c r="H55" s="3">
        <v>2500</v>
      </c>
      <c r="I55" s="3">
        <v>5000</v>
      </c>
      <c r="J55" s="3">
        <v>3600</v>
      </c>
      <c r="K55" s="3">
        <v>1400</v>
      </c>
      <c r="L55" t="s">
        <v>42</v>
      </c>
      <c r="M55" t="s">
        <v>43</v>
      </c>
    </row>
    <row r="56" spans="1:13">
      <c r="A56" t="s">
        <v>155</v>
      </c>
      <c r="B56" s="1" t="s">
        <v>156</v>
      </c>
      <c r="C56" s="1" t="str">
        <f t="shared" si="0"/>
        <v>Jan-2025</v>
      </c>
      <c r="D56" t="s">
        <v>144</v>
      </c>
      <c r="E56" t="s">
        <v>107</v>
      </c>
      <c r="F56" t="s">
        <v>17</v>
      </c>
      <c r="G56" s="2">
        <v>3</v>
      </c>
      <c r="H56" s="3">
        <v>3000</v>
      </c>
      <c r="I56" s="3">
        <v>9000</v>
      </c>
      <c r="J56" s="3">
        <v>6600</v>
      </c>
      <c r="K56" s="3">
        <v>2400</v>
      </c>
      <c r="L56" t="s">
        <v>18</v>
      </c>
      <c r="M56" t="s">
        <v>57</v>
      </c>
    </row>
    <row r="57" spans="1:13">
      <c r="A57" t="s">
        <v>157</v>
      </c>
      <c r="B57" s="1" t="s">
        <v>158</v>
      </c>
      <c r="C57" s="1" t="str">
        <f t="shared" si="0"/>
        <v>Jan-2025</v>
      </c>
      <c r="D57" t="s">
        <v>159</v>
      </c>
      <c r="E57" t="s">
        <v>107</v>
      </c>
      <c r="F57" t="s">
        <v>17</v>
      </c>
      <c r="G57" s="2">
        <v>3</v>
      </c>
      <c r="H57" s="3">
        <v>3000</v>
      </c>
      <c r="I57" s="3">
        <v>9000</v>
      </c>
      <c r="J57" s="3">
        <v>6600</v>
      </c>
      <c r="K57" s="3">
        <v>2400</v>
      </c>
      <c r="L57" t="s">
        <v>25</v>
      </c>
      <c r="M57" t="s">
        <v>34</v>
      </c>
    </row>
    <row r="58" spans="1:13">
      <c r="A58" t="s">
        <v>160</v>
      </c>
      <c r="B58" s="1" t="s">
        <v>129</v>
      </c>
      <c r="C58" s="1" t="str">
        <f t="shared" si="0"/>
        <v>Jan-2025</v>
      </c>
      <c r="D58" t="s">
        <v>99</v>
      </c>
      <c r="E58" t="s">
        <v>55</v>
      </c>
      <c r="F58" t="s">
        <v>56</v>
      </c>
      <c r="G58" s="2">
        <v>4</v>
      </c>
      <c r="H58" s="3">
        <v>800</v>
      </c>
      <c r="I58" s="3">
        <v>3200</v>
      </c>
      <c r="J58" s="3">
        <v>1600</v>
      </c>
      <c r="K58" s="3">
        <v>1600</v>
      </c>
      <c r="L58" t="s">
        <v>42</v>
      </c>
      <c r="M58" t="s">
        <v>100</v>
      </c>
    </row>
    <row r="59" spans="1:13">
      <c r="A59" t="s">
        <v>161</v>
      </c>
      <c r="B59" s="1" t="s">
        <v>27</v>
      </c>
      <c r="C59" s="1" t="str">
        <f t="shared" si="0"/>
        <v>Jan-2025</v>
      </c>
      <c r="D59" t="s">
        <v>162</v>
      </c>
      <c r="E59" t="s">
        <v>107</v>
      </c>
      <c r="F59" t="s">
        <v>17</v>
      </c>
      <c r="G59" s="2">
        <v>1</v>
      </c>
      <c r="H59" s="3">
        <v>3000</v>
      </c>
      <c r="I59" s="3">
        <v>3000</v>
      </c>
      <c r="J59" s="3">
        <v>2200</v>
      </c>
      <c r="K59" s="3">
        <v>800</v>
      </c>
      <c r="L59" t="s">
        <v>18</v>
      </c>
      <c r="M59" t="s">
        <v>43</v>
      </c>
    </row>
    <row r="60" spans="1:13">
      <c r="A60" t="s">
        <v>163</v>
      </c>
      <c r="B60" s="1" t="s">
        <v>158</v>
      </c>
      <c r="C60" s="1" t="str">
        <f t="shared" si="0"/>
        <v>Jan-2025</v>
      </c>
      <c r="D60" t="s">
        <v>164</v>
      </c>
      <c r="E60" t="s">
        <v>16</v>
      </c>
      <c r="F60" t="s">
        <v>17</v>
      </c>
      <c r="G60" s="2">
        <v>3</v>
      </c>
      <c r="H60" s="3">
        <v>2500</v>
      </c>
      <c r="I60" s="3">
        <v>7500</v>
      </c>
      <c r="J60" s="3">
        <v>5400</v>
      </c>
      <c r="K60" s="3">
        <v>2100</v>
      </c>
      <c r="L60" t="s">
        <v>42</v>
      </c>
      <c r="M60" t="s">
        <v>19</v>
      </c>
    </row>
    <row r="61" spans="1:13">
      <c r="A61" t="s">
        <v>165</v>
      </c>
      <c r="B61" s="1" t="s">
        <v>64</v>
      </c>
      <c r="C61" s="1" t="str">
        <f t="shared" si="0"/>
        <v>Jan-2025</v>
      </c>
      <c r="D61" t="s">
        <v>166</v>
      </c>
      <c r="E61" t="s">
        <v>29</v>
      </c>
      <c r="F61" t="s">
        <v>17</v>
      </c>
      <c r="G61" s="2">
        <v>2</v>
      </c>
      <c r="H61" s="3">
        <v>1200</v>
      </c>
      <c r="I61" s="3">
        <v>2400</v>
      </c>
      <c r="J61" s="3">
        <v>1600</v>
      </c>
      <c r="K61" s="3">
        <v>800</v>
      </c>
      <c r="L61" t="s">
        <v>18</v>
      </c>
      <c r="M61" t="s">
        <v>57</v>
      </c>
    </row>
    <row r="62" spans="1:13">
      <c r="A62" t="s">
        <v>167</v>
      </c>
      <c r="B62" s="1" t="s">
        <v>95</v>
      </c>
      <c r="C62" s="1" t="str">
        <f t="shared" si="0"/>
        <v>Jan-2025</v>
      </c>
      <c r="D62" t="s">
        <v>168</v>
      </c>
      <c r="E62" t="s">
        <v>107</v>
      </c>
      <c r="F62" t="s">
        <v>17</v>
      </c>
      <c r="G62" s="2">
        <v>1</v>
      </c>
      <c r="H62" s="3">
        <v>3000</v>
      </c>
      <c r="I62" s="3">
        <v>3000</v>
      </c>
      <c r="J62" s="3">
        <v>2200</v>
      </c>
      <c r="K62" s="3">
        <v>800</v>
      </c>
      <c r="L62" t="s">
        <v>18</v>
      </c>
      <c r="M62" t="s">
        <v>100</v>
      </c>
    </row>
    <row r="63" spans="1:13">
      <c r="A63" t="s">
        <v>169</v>
      </c>
      <c r="B63" s="1" t="s">
        <v>36</v>
      </c>
      <c r="C63" s="1" t="str">
        <f t="shared" si="0"/>
        <v>Jan-2025</v>
      </c>
      <c r="D63" t="s">
        <v>164</v>
      </c>
      <c r="E63" t="s">
        <v>29</v>
      </c>
      <c r="F63" t="s">
        <v>17</v>
      </c>
      <c r="G63" s="2">
        <v>3</v>
      </c>
      <c r="H63" s="3">
        <v>1200</v>
      </c>
      <c r="I63" s="3">
        <v>3600</v>
      </c>
      <c r="J63" s="3">
        <v>2400</v>
      </c>
      <c r="K63" s="3">
        <v>1200</v>
      </c>
      <c r="L63" t="s">
        <v>42</v>
      </c>
      <c r="M63" t="s">
        <v>100</v>
      </c>
    </row>
    <row r="64" spans="1:13">
      <c r="A64" t="s">
        <v>170</v>
      </c>
      <c r="B64" s="1" t="s">
        <v>158</v>
      </c>
      <c r="C64" s="1" t="str">
        <f t="shared" si="0"/>
        <v>Jan-2025</v>
      </c>
      <c r="D64" t="s">
        <v>171</v>
      </c>
      <c r="E64" t="s">
        <v>29</v>
      </c>
      <c r="F64" t="s">
        <v>17</v>
      </c>
      <c r="G64" s="2">
        <v>4</v>
      </c>
      <c r="H64" s="3">
        <v>1200</v>
      </c>
      <c r="I64" s="3">
        <v>4800</v>
      </c>
      <c r="J64" s="3">
        <v>3200</v>
      </c>
      <c r="K64" s="3">
        <v>1600</v>
      </c>
      <c r="L64" t="s">
        <v>25</v>
      </c>
      <c r="M64" t="s">
        <v>43</v>
      </c>
    </row>
    <row r="65" spans="1:13">
      <c r="A65" t="s">
        <v>172</v>
      </c>
      <c r="B65" s="1" t="s">
        <v>53</v>
      </c>
      <c r="C65" s="1" t="str">
        <f t="shared" si="0"/>
        <v>Jan-2025</v>
      </c>
      <c r="D65" t="s">
        <v>173</v>
      </c>
      <c r="E65" t="s">
        <v>16</v>
      </c>
      <c r="F65" t="s">
        <v>17</v>
      </c>
      <c r="G65" s="2">
        <v>4</v>
      </c>
      <c r="H65" s="3">
        <v>2500</v>
      </c>
      <c r="I65" s="3">
        <v>10000</v>
      </c>
      <c r="J65" s="3">
        <v>7200</v>
      </c>
      <c r="K65" s="3">
        <v>2800</v>
      </c>
      <c r="L65" t="s">
        <v>18</v>
      </c>
      <c r="M65" t="s">
        <v>43</v>
      </c>
    </row>
    <row r="66" spans="1:13">
      <c r="A66" t="s">
        <v>174</v>
      </c>
      <c r="B66" s="1" t="s">
        <v>53</v>
      </c>
      <c r="C66" s="1" t="str">
        <f t="shared" si="0"/>
        <v>Jan-2025</v>
      </c>
      <c r="D66" t="s">
        <v>175</v>
      </c>
      <c r="E66" t="s">
        <v>55</v>
      </c>
      <c r="F66" t="s">
        <v>56</v>
      </c>
      <c r="G66" s="2">
        <v>2</v>
      </c>
      <c r="H66" s="3">
        <v>800</v>
      </c>
      <c r="I66" s="3">
        <v>1600</v>
      </c>
      <c r="J66" s="3">
        <v>800</v>
      </c>
      <c r="K66" s="3">
        <v>800</v>
      </c>
      <c r="L66" t="s">
        <v>25</v>
      </c>
      <c r="M66" t="s">
        <v>19</v>
      </c>
    </row>
    <row r="67" spans="1:13">
      <c r="A67" t="s">
        <v>176</v>
      </c>
      <c r="B67" s="1" t="s">
        <v>98</v>
      </c>
      <c r="C67" s="1" t="str">
        <f t="shared" ref="C67:C130" si="1">TEXT(B67,"MMM-YYYY")</f>
        <v>Jan-2025</v>
      </c>
      <c r="D67" t="s">
        <v>134</v>
      </c>
      <c r="E67" t="s">
        <v>23</v>
      </c>
      <c r="F67" t="s">
        <v>24</v>
      </c>
      <c r="G67" s="2">
        <v>3</v>
      </c>
      <c r="H67" s="3">
        <v>4000</v>
      </c>
      <c r="I67" s="3">
        <v>12000</v>
      </c>
      <c r="J67" s="3">
        <v>9000</v>
      </c>
      <c r="K67" s="3">
        <v>3000</v>
      </c>
      <c r="L67" t="s">
        <v>42</v>
      </c>
      <c r="M67" t="s">
        <v>19</v>
      </c>
    </row>
    <row r="68" spans="1:13">
      <c r="A68" t="s">
        <v>177</v>
      </c>
      <c r="B68" s="1" t="s">
        <v>178</v>
      </c>
      <c r="C68" s="1" t="str">
        <f t="shared" si="1"/>
        <v>Jan-2025</v>
      </c>
      <c r="D68" t="s">
        <v>179</v>
      </c>
      <c r="E68" t="s">
        <v>107</v>
      </c>
      <c r="F68" t="s">
        <v>17</v>
      </c>
      <c r="G68" s="2">
        <v>1</v>
      </c>
      <c r="H68" s="3">
        <v>3000</v>
      </c>
      <c r="I68" s="3">
        <v>3000</v>
      </c>
      <c r="J68" s="3">
        <v>2200</v>
      </c>
      <c r="K68" s="3">
        <v>800</v>
      </c>
      <c r="L68" t="s">
        <v>18</v>
      </c>
      <c r="M68" t="s">
        <v>100</v>
      </c>
    </row>
    <row r="69" spans="1:13">
      <c r="A69" t="s">
        <v>180</v>
      </c>
      <c r="B69" s="1" t="s">
        <v>21</v>
      </c>
      <c r="C69" s="1" t="str">
        <f t="shared" si="1"/>
        <v>Jan-2025</v>
      </c>
      <c r="D69" t="s">
        <v>181</v>
      </c>
      <c r="E69" t="s">
        <v>29</v>
      </c>
      <c r="F69" t="s">
        <v>17</v>
      </c>
      <c r="G69" s="2">
        <v>1</v>
      </c>
      <c r="H69" s="3">
        <v>1200</v>
      </c>
      <c r="I69" s="3">
        <v>1200</v>
      </c>
      <c r="J69" s="3">
        <v>800</v>
      </c>
      <c r="K69" s="3">
        <v>400</v>
      </c>
      <c r="L69" t="s">
        <v>18</v>
      </c>
      <c r="M69" t="s">
        <v>30</v>
      </c>
    </row>
    <row r="70" spans="1:13">
      <c r="A70" t="s">
        <v>182</v>
      </c>
      <c r="B70" s="1" t="s">
        <v>95</v>
      </c>
      <c r="C70" s="1" t="str">
        <f t="shared" si="1"/>
        <v>Jan-2025</v>
      </c>
      <c r="D70" t="s">
        <v>183</v>
      </c>
      <c r="E70" t="s">
        <v>41</v>
      </c>
      <c r="F70" t="s">
        <v>24</v>
      </c>
      <c r="G70" s="2">
        <v>3</v>
      </c>
      <c r="H70" s="3">
        <v>1800</v>
      </c>
      <c r="I70" s="3">
        <v>5400</v>
      </c>
      <c r="J70" s="3">
        <v>3600</v>
      </c>
      <c r="K70" s="3">
        <v>1800</v>
      </c>
      <c r="L70" t="s">
        <v>18</v>
      </c>
      <c r="M70" t="s">
        <v>19</v>
      </c>
    </row>
    <row r="71" spans="1:13">
      <c r="A71" t="s">
        <v>184</v>
      </c>
      <c r="B71" s="1" t="s">
        <v>51</v>
      </c>
      <c r="C71" s="1" t="str">
        <f t="shared" si="1"/>
        <v>Jan-2025</v>
      </c>
      <c r="D71" t="s">
        <v>185</v>
      </c>
      <c r="E71" t="s">
        <v>29</v>
      </c>
      <c r="F71" t="s">
        <v>17</v>
      </c>
      <c r="G71" s="2">
        <v>1</v>
      </c>
      <c r="H71" s="3">
        <v>1200</v>
      </c>
      <c r="I71" s="3">
        <v>1200</v>
      </c>
      <c r="J71" s="3">
        <v>800</v>
      </c>
      <c r="K71" s="3">
        <v>400</v>
      </c>
      <c r="L71" t="s">
        <v>42</v>
      </c>
      <c r="M71" t="s">
        <v>19</v>
      </c>
    </row>
    <row r="72" spans="1:13">
      <c r="A72" t="s">
        <v>186</v>
      </c>
      <c r="B72" s="1" t="s">
        <v>178</v>
      </c>
      <c r="C72" s="1" t="str">
        <f t="shared" si="1"/>
        <v>Jan-2025</v>
      </c>
      <c r="D72" t="s">
        <v>187</v>
      </c>
      <c r="E72" t="s">
        <v>29</v>
      </c>
      <c r="F72" t="s">
        <v>17</v>
      </c>
      <c r="G72" s="2">
        <v>3</v>
      </c>
      <c r="H72" s="3">
        <v>1200</v>
      </c>
      <c r="I72" s="3">
        <v>3600</v>
      </c>
      <c r="J72" s="3">
        <v>2400</v>
      </c>
      <c r="K72" s="3">
        <v>1200</v>
      </c>
      <c r="L72" t="s">
        <v>42</v>
      </c>
      <c r="M72" t="s">
        <v>34</v>
      </c>
    </row>
    <row r="73" spans="1:13">
      <c r="A73" t="s">
        <v>188</v>
      </c>
      <c r="B73" s="1" t="s">
        <v>85</v>
      </c>
      <c r="C73" s="1" t="str">
        <f t="shared" si="1"/>
        <v>Jan-2025</v>
      </c>
      <c r="D73" t="s">
        <v>189</v>
      </c>
      <c r="E73" t="s">
        <v>55</v>
      </c>
      <c r="F73" t="s">
        <v>56</v>
      </c>
      <c r="G73" s="2">
        <v>4</v>
      </c>
      <c r="H73" s="3">
        <v>800</v>
      </c>
      <c r="I73" s="3">
        <v>3200</v>
      </c>
      <c r="J73" s="3">
        <v>1600</v>
      </c>
      <c r="K73" s="3">
        <v>1600</v>
      </c>
      <c r="L73" t="s">
        <v>18</v>
      </c>
      <c r="M73" t="s">
        <v>43</v>
      </c>
    </row>
    <row r="74" spans="1:13">
      <c r="A74" t="s">
        <v>190</v>
      </c>
      <c r="B74" s="1" t="s">
        <v>61</v>
      </c>
      <c r="C74" s="1" t="str">
        <f t="shared" si="1"/>
        <v>Jan-2025</v>
      </c>
      <c r="D74" t="s">
        <v>81</v>
      </c>
      <c r="E74" t="s">
        <v>41</v>
      </c>
      <c r="F74" t="s">
        <v>24</v>
      </c>
      <c r="G74" s="2">
        <v>2</v>
      </c>
      <c r="H74" s="3">
        <v>1800</v>
      </c>
      <c r="I74" s="3">
        <v>3600</v>
      </c>
      <c r="J74" s="3">
        <v>2400</v>
      </c>
      <c r="K74" s="3">
        <v>1200</v>
      </c>
      <c r="L74" t="s">
        <v>25</v>
      </c>
      <c r="M74" t="s">
        <v>57</v>
      </c>
    </row>
    <row r="75" spans="1:13">
      <c r="A75" t="s">
        <v>191</v>
      </c>
      <c r="B75" s="1" t="s">
        <v>69</v>
      </c>
      <c r="C75" s="1" t="str">
        <f t="shared" si="1"/>
        <v>Jan-2025</v>
      </c>
      <c r="D75" t="s">
        <v>192</v>
      </c>
      <c r="E75" t="s">
        <v>29</v>
      </c>
      <c r="F75" t="s">
        <v>17</v>
      </c>
      <c r="G75" s="2">
        <v>3</v>
      </c>
      <c r="H75" s="3">
        <v>1200</v>
      </c>
      <c r="I75" s="3">
        <v>3600</v>
      </c>
      <c r="J75" s="3">
        <v>2400</v>
      </c>
      <c r="K75" s="3">
        <v>1200</v>
      </c>
      <c r="L75" t="s">
        <v>18</v>
      </c>
      <c r="M75" t="s">
        <v>100</v>
      </c>
    </row>
    <row r="76" spans="1:13">
      <c r="A76" t="s">
        <v>193</v>
      </c>
      <c r="B76" s="1" t="s">
        <v>125</v>
      </c>
      <c r="C76" s="1" t="str">
        <f t="shared" si="1"/>
        <v>Jan-2025</v>
      </c>
      <c r="D76" t="s">
        <v>194</v>
      </c>
      <c r="E76" t="s">
        <v>55</v>
      </c>
      <c r="F76" t="s">
        <v>56</v>
      </c>
      <c r="G76" s="2">
        <v>3</v>
      </c>
      <c r="H76" s="3">
        <v>800</v>
      </c>
      <c r="I76" s="3">
        <v>2400</v>
      </c>
      <c r="J76" s="3">
        <v>1200</v>
      </c>
      <c r="K76" s="3">
        <v>1200</v>
      </c>
      <c r="L76" t="s">
        <v>18</v>
      </c>
      <c r="M76" t="s">
        <v>100</v>
      </c>
    </row>
    <row r="77" spans="1:13">
      <c r="A77" t="s">
        <v>195</v>
      </c>
      <c r="B77" s="1" t="s">
        <v>115</v>
      </c>
      <c r="C77" s="1" t="str">
        <f t="shared" si="1"/>
        <v>Jan-2025</v>
      </c>
      <c r="D77" t="s">
        <v>196</v>
      </c>
      <c r="E77" t="s">
        <v>107</v>
      </c>
      <c r="F77" t="s">
        <v>17</v>
      </c>
      <c r="G77" s="2">
        <v>2</v>
      </c>
      <c r="H77" s="3">
        <v>3000</v>
      </c>
      <c r="I77" s="3">
        <v>6000</v>
      </c>
      <c r="J77" s="3">
        <v>4400</v>
      </c>
      <c r="K77" s="3">
        <v>1600</v>
      </c>
      <c r="L77" t="s">
        <v>42</v>
      </c>
      <c r="M77" t="s">
        <v>57</v>
      </c>
    </row>
    <row r="78" spans="1:13">
      <c r="A78" t="s">
        <v>197</v>
      </c>
      <c r="B78" s="1" t="s">
        <v>158</v>
      </c>
      <c r="C78" s="1" t="str">
        <f t="shared" si="1"/>
        <v>Jan-2025</v>
      </c>
      <c r="D78" t="s">
        <v>198</v>
      </c>
      <c r="E78" t="s">
        <v>16</v>
      </c>
      <c r="F78" t="s">
        <v>17</v>
      </c>
      <c r="G78" s="2">
        <v>3</v>
      </c>
      <c r="H78" s="3">
        <v>2500</v>
      </c>
      <c r="I78" s="3">
        <v>7500</v>
      </c>
      <c r="J78" s="3">
        <v>5400</v>
      </c>
      <c r="K78" s="3">
        <v>2100</v>
      </c>
      <c r="L78" t="s">
        <v>42</v>
      </c>
      <c r="M78" t="s">
        <v>34</v>
      </c>
    </row>
    <row r="79" spans="1:13">
      <c r="A79" t="s">
        <v>199</v>
      </c>
      <c r="B79" s="1" t="s">
        <v>125</v>
      </c>
      <c r="C79" s="1" t="str">
        <f t="shared" si="1"/>
        <v>Jan-2025</v>
      </c>
      <c r="D79" t="s">
        <v>46</v>
      </c>
      <c r="E79" t="s">
        <v>41</v>
      </c>
      <c r="F79" t="s">
        <v>24</v>
      </c>
      <c r="G79" s="2">
        <v>1</v>
      </c>
      <c r="H79" s="3">
        <v>1800</v>
      </c>
      <c r="I79" s="3">
        <v>1800</v>
      </c>
      <c r="J79" s="3">
        <v>1200</v>
      </c>
      <c r="K79" s="3">
        <v>600</v>
      </c>
      <c r="L79" t="s">
        <v>25</v>
      </c>
      <c r="M79" t="s">
        <v>43</v>
      </c>
    </row>
    <row r="80" spans="1:13">
      <c r="A80" t="s">
        <v>200</v>
      </c>
      <c r="B80" s="1" t="s">
        <v>14</v>
      </c>
      <c r="C80" s="1" t="str">
        <f t="shared" si="1"/>
        <v>Jan-2025</v>
      </c>
      <c r="D80" t="s">
        <v>86</v>
      </c>
      <c r="E80" t="s">
        <v>23</v>
      </c>
      <c r="F80" t="s">
        <v>24</v>
      </c>
      <c r="G80" s="2">
        <v>1</v>
      </c>
      <c r="H80" s="3">
        <v>4000</v>
      </c>
      <c r="I80" s="3">
        <v>4000</v>
      </c>
      <c r="J80" s="3">
        <v>3000</v>
      </c>
      <c r="K80" s="3">
        <v>1000</v>
      </c>
      <c r="L80" t="s">
        <v>25</v>
      </c>
      <c r="M80" t="s">
        <v>30</v>
      </c>
    </row>
    <row r="81" spans="1:13">
      <c r="A81" t="s">
        <v>201</v>
      </c>
      <c r="B81" s="1" t="s">
        <v>77</v>
      </c>
      <c r="C81" s="1" t="str">
        <f t="shared" si="1"/>
        <v>Jan-2025</v>
      </c>
      <c r="D81" t="s">
        <v>104</v>
      </c>
      <c r="E81" t="s">
        <v>29</v>
      </c>
      <c r="F81" t="s">
        <v>17</v>
      </c>
      <c r="G81" s="2">
        <v>1</v>
      </c>
      <c r="H81" s="3">
        <v>1200</v>
      </c>
      <c r="I81" s="3">
        <v>1200</v>
      </c>
      <c r="J81" s="3">
        <v>800</v>
      </c>
      <c r="K81" s="3">
        <v>400</v>
      </c>
      <c r="L81" t="s">
        <v>18</v>
      </c>
      <c r="M81" t="s">
        <v>57</v>
      </c>
    </row>
    <row r="82" spans="1:13">
      <c r="A82" t="s">
        <v>202</v>
      </c>
      <c r="B82" s="1" t="s">
        <v>203</v>
      </c>
      <c r="C82" s="1" t="str">
        <f t="shared" si="1"/>
        <v>Jan-2025</v>
      </c>
      <c r="D82" t="s">
        <v>65</v>
      </c>
      <c r="E82" t="s">
        <v>23</v>
      </c>
      <c r="F82" t="s">
        <v>24</v>
      </c>
      <c r="G82" s="2">
        <v>4</v>
      </c>
      <c r="H82" s="3">
        <v>4000</v>
      </c>
      <c r="I82" s="3">
        <v>16000</v>
      </c>
      <c r="J82" s="3">
        <v>12000</v>
      </c>
      <c r="K82" s="3">
        <v>4000</v>
      </c>
      <c r="L82" t="s">
        <v>25</v>
      </c>
      <c r="M82" t="s">
        <v>100</v>
      </c>
    </row>
    <row r="83" spans="1:13">
      <c r="A83" t="s">
        <v>204</v>
      </c>
      <c r="B83" s="1" t="s">
        <v>69</v>
      </c>
      <c r="C83" s="1" t="str">
        <f t="shared" si="1"/>
        <v>Jan-2025</v>
      </c>
      <c r="D83" t="s">
        <v>205</v>
      </c>
      <c r="E83" t="s">
        <v>41</v>
      </c>
      <c r="F83" t="s">
        <v>24</v>
      </c>
      <c r="G83" s="2">
        <v>3</v>
      </c>
      <c r="H83" s="3">
        <v>1800</v>
      </c>
      <c r="I83" s="3">
        <v>5400</v>
      </c>
      <c r="J83" s="3">
        <v>3600</v>
      </c>
      <c r="K83" s="3">
        <v>1800</v>
      </c>
      <c r="L83" t="s">
        <v>42</v>
      </c>
      <c r="M83" t="s">
        <v>43</v>
      </c>
    </row>
    <row r="84" spans="1:13">
      <c r="A84" t="s">
        <v>206</v>
      </c>
      <c r="B84" s="1" t="s">
        <v>129</v>
      </c>
      <c r="C84" s="1" t="str">
        <f t="shared" si="1"/>
        <v>Jan-2025</v>
      </c>
      <c r="D84" t="s">
        <v>171</v>
      </c>
      <c r="E84" t="s">
        <v>16</v>
      </c>
      <c r="F84" t="s">
        <v>17</v>
      </c>
      <c r="G84" s="2">
        <v>2</v>
      </c>
      <c r="H84" s="3">
        <v>2500</v>
      </c>
      <c r="I84" s="3">
        <v>5000</v>
      </c>
      <c r="J84" s="3">
        <v>3600</v>
      </c>
      <c r="K84" s="3">
        <v>1400</v>
      </c>
      <c r="L84" t="s">
        <v>18</v>
      </c>
      <c r="M84" t="s">
        <v>57</v>
      </c>
    </row>
    <row r="85" spans="1:13">
      <c r="A85" t="s">
        <v>207</v>
      </c>
      <c r="B85" s="1" t="s">
        <v>129</v>
      </c>
      <c r="C85" s="1" t="str">
        <f t="shared" si="1"/>
        <v>Jan-2025</v>
      </c>
      <c r="D85" t="s">
        <v>168</v>
      </c>
      <c r="E85" t="s">
        <v>29</v>
      </c>
      <c r="F85" t="s">
        <v>17</v>
      </c>
      <c r="G85" s="2">
        <v>3</v>
      </c>
      <c r="H85" s="3">
        <v>1200</v>
      </c>
      <c r="I85" s="3">
        <v>3600</v>
      </c>
      <c r="J85" s="3">
        <v>2400</v>
      </c>
      <c r="K85" s="3">
        <v>1200</v>
      </c>
      <c r="L85" t="s">
        <v>25</v>
      </c>
      <c r="M85" t="s">
        <v>43</v>
      </c>
    </row>
    <row r="86" spans="1:13">
      <c r="A86" t="s">
        <v>208</v>
      </c>
      <c r="B86" s="1" t="s">
        <v>80</v>
      </c>
      <c r="C86" s="1" t="str">
        <f t="shared" si="1"/>
        <v>Jan-2025</v>
      </c>
      <c r="D86" t="s">
        <v>185</v>
      </c>
      <c r="E86" t="s">
        <v>41</v>
      </c>
      <c r="F86" t="s">
        <v>24</v>
      </c>
      <c r="G86" s="2">
        <v>1</v>
      </c>
      <c r="H86" s="3">
        <v>1800</v>
      </c>
      <c r="I86" s="3">
        <v>1800</v>
      </c>
      <c r="J86" s="3">
        <v>1200</v>
      </c>
      <c r="K86" s="3">
        <v>600</v>
      </c>
      <c r="L86" t="s">
        <v>42</v>
      </c>
      <c r="M86" t="s">
        <v>30</v>
      </c>
    </row>
    <row r="87" spans="1:13">
      <c r="A87" t="s">
        <v>209</v>
      </c>
      <c r="B87" s="1" t="s">
        <v>53</v>
      </c>
      <c r="C87" s="1" t="str">
        <f t="shared" si="1"/>
        <v>Jan-2025</v>
      </c>
      <c r="D87" t="s">
        <v>210</v>
      </c>
      <c r="E87" t="s">
        <v>41</v>
      </c>
      <c r="F87" t="s">
        <v>24</v>
      </c>
      <c r="G87" s="2">
        <v>2</v>
      </c>
      <c r="H87" s="3">
        <v>1800</v>
      </c>
      <c r="I87" s="3">
        <v>3600</v>
      </c>
      <c r="J87" s="3">
        <v>2400</v>
      </c>
      <c r="K87" s="3">
        <v>1200</v>
      </c>
      <c r="L87" t="s">
        <v>18</v>
      </c>
      <c r="M87" t="s">
        <v>34</v>
      </c>
    </row>
    <row r="88" spans="1:13">
      <c r="A88" t="s">
        <v>211</v>
      </c>
      <c r="B88" s="1" t="s">
        <v>212</v>
      </c>
      <c r="C88" s="1" t="str">
        <f t="shared" si="1"/>
        <v>Jan-2025</v>
      </c>
      <c r="D88" t="s">
        <v>213</v>
      </c>
      <c r="E88" t="s">
        <v>16</v>
      </c>
      <c r="F88" t="s">
        <v>17</v>
      </c>
      <c r="G88" s="2">
        <v>1</v>
      </c>
      <c r="H88" s="3">
        <v>2500</v>
      </c>
      <c r="I88" s="3">
        <v>2500</v>
      </c>
      <c r="J88" s="3">
        <v>1800</v>
      </c>
      <c r="K88" s="3">
        <v>700</v>
      </c>
      <c r="L88" t="s">
        <v>42</v>
      </c>
      <c r="M88" t="s">
        <v>43</v>
      </c>
    </row>
    <row r="89" spans="1:13">
      <c r="A89" t="s">
        <v>214</v>
      </c>
      <c r="B89" s="1" t="s">
        <v>85</v>
      </c>
      <c r="C89" s="1" t="str">
        <f t="shared" si="1"/>
        <v>Jan-2025</v>
      </c>
      <c r="D89" t="s">
        <v>215</v>
      </c>
      <c r="E89" t="s">
        <v>107</v>
      </c>
      <c r="F89" t="s">
        <v>17</v>
      </c>
      <c r="G89" s="2">
        <v>1</v>
      </c>
      <c r="H89" s="3">
        <v>3000</v>
      </c>
      <c r="I89" s="3">
        <v>3000</v>
      </c>
      <c r="J89" s="3">
        <v>2200</v>
      </c>
      <c r="K89" s="3">
        <v>800</v>
      </c>
      <c r="L89" t="s">
        <v>18</v>
      </c>
      <c r="M89" t="s">
        <v>34</v>
      </c>
    </row>
    <row r="90" spans="1:13">
      <c r="A90" t="s">
        <v>216</v>
      </c>
      <c r="B90" s="1" t="s">
        <v>203</v>
      </c>
      <c r="C90" s="1" t="str">
        <f t="shared" si="1"/>
        <v>Jan-2025</v>
      </c>
      <c r="D90" t="s">
        <v>93</v>
      </c>
      <c r="E90" t="s">
        <v>107</v>
      </c>
      <c r="F90" t="s">
        <v>17</v>
      </c>
      <c r="G90" s="2">
        <v>4</v>
      </c>
      <c r="H90" s="3">
        <v>3000</v>
      </c>
      <c r="I90" s="3">
        <v>12000</v>
      </c>
      <c r="J90" s="3">
        <v>8800</v>
      </c>
      <c r="K90" s="3">
        <v>3200</v>
      </c>
      <c r="L90" t="s">
        <v>18</v>
      </c>
      <c r="M90" t="s">
        <v>100</v>
      </c>
    </row>
    <row r="91" spans="1:13">
      <c r="A91" t="s">
        <v>217</v>
      </c>
      <c r="B91" s="1" t="s">
        <v>53</v>
      </c>
      <c r="C91" s="1" t="str">
        <f t="shared" si="1"/>
        <v>Jan-2025</v>
      </c>
      <c r="D91" t="s">
        <v>218</v>
      </c>
      <c r="E91" t="s">
        <v>23</v>
      </c>
      <c r="F91" t="s">
        <v>24</v>
      </c>
      <c r="G91" s="2">
        <v>3</v>
      </c>
      <c r="H91" s="3">
        <v>4000</v>
      </c>
      <c r="I91" s="3">
        <v>12000</v>
      </c>
      <c r="J91" s="3">
        <v>9000</v>
      </c>
      <c r="K91" s="3">
        <v>3000</v>
      </c>
      <c r="L91" t="s">
        <v>18</v>
      </c>
      <c r="M91" t="s">
        <v>100</v>
      </c>
    </row>
    <row r="92" spans="1:13">
      <c r="A92" t="s">
        <v>219</v>
      </c>
      <c r="B92" s="1" t="s">
        <v>64</v>
      </c>
      <c r="C92" s="1" t="str">
        <f t="shared" si="1"/>
        <v>Jan-2025</v>
      </c>
      <c r="D92" t="s">
        <v>37</v>
      </c>
      <c r="E92" t="s">
        <v>55</v>
      </c>
      <c r="F92" t="s">
        <v>56</v>
      </c>
      <c r="G92" s="2">
        <v>4</v>
      </c>
      <c r="H92" s="3">
        <v>800</v>
      </c>
      <c r="I92" s="3">
        <v>3200</v>
      </c>
      <c r="J92" s="3">
        <v>1600</v>
      </c>
      <c r="K92" s="3">
        <v>1600</v>
      </c>
      <c r="L92" t="s">
        <v>25</v>
      </c>
      <c r="M92" t="s">
        <v>30</v>
      </c>
    </row>
    <row r="93" spans="1:13">
      <c r="A93" t="s">
        <v>220</v>
      </c>
      <c r="B93" s="1" t="s">
        <v>64</v>
      </c>
      <c r="C93" s="1" t="str">
        <f t="shared" si="1"/>
        <v>Jan-2025</v>
      </c>
      <c r="D93" t="s">
        <v>221</v>
      </c>
      <c r="E93" t="s">
        <v>107</v>
      </c>
      <c r="F93" t="s">
        <v>17</v>
      </c>
      <c r="G93" s="2">
        <v>2</v>
      </c>
      <c r="H93" s="3">
        <v>3000</v>
      </c>
      <c r="I93" s="3">
        <v>6000</v>
      </c>
      <c r="J93" s="3">
        <v>4400</v>
      </c>
      <c r="K93" s="3">
        <v>1600</v>
      </c>
      <c r="L93" t="s">
        <v>25</v>
      </c>
      <c r="M93" t="s">
        <v>57</v>
      </c>
    </row>
    <row r="94" spans="1:13">
      <c r="A94" t="s">
        <v>222</v>
      </c>
      <c r="B94" s="1" t="s">
        <v>64</v>
      </c>
      <c r="C94" s="1" t="str">
        <f t="shared" si="1"/>
        <v>Jan-2025</v>
      </c>
      <c r="D94" t="s">
        <v>223</v>
      </c>
      <c r="E94" t="s">
        <v>107</v>
      </c>
      <c r="F94" t="s">
        <v>17</v>
      </c>
      <c r="G94" s="2">
        <v>4</v>
      </c>
      <c r="H94" s="3">
        <v>3000</v>
      </c>
      <c r="I94" s="3">
        <v>12000</v>
      </c>
      <c r="J94" s="3">
        <v>8800</v>
      </c>
      <c r="K94" s="3">
        <v>3200</v>
      </c>
      <c r="L94" t="s">
        <v>25</v>
      </c>
      <c r="M94" t="s">
        <v>34</v>
      </c>
    </row>
    <row r="95" spans="1:13">
      <c r="A95" t="s">
        <v>224</v>
      </c>
      <c r="B95" s="1" t="s">
        <v>74</v>
      </c>
      <c r="C95" s="1" t="str">
        <f t="shared" si="1"/>
        <v>Jan-2025</v>
      </c>
      <c r="D95" t="s">
        <v>225</v>
      </c>
      <c r="E95" t="s">
        <v>29</v>
      </c>
      <c r="F95" t="s">
        <v>17</v>
      </c>
      <c r="G95" s="2">
        <v>2</v>
      </c>
      <c r="H95" s="3">
        <v>1200</v>
      </c>
      <c r="I95" s="3">
        <v>2400</v>
      </c>
      <c r="J95" s="3">
        <v>1600</v>
      </c>
      <c r="K95" s="3">
        <v>800</v>
      </c>
      <c r="L95" t="s">
        <v>25</v>
      </c>
      <c r="M95" t="s">
        <v>34</v>
      </c>
    </row>
    <row r="96" spans="1:13">
      <c r="A96" t="s">
        <v>226</v>
      </c>
      <c r="B96" s="1" t="s">
        <v>51</v>
      </c>
      <c r="C96" s="1" t="str">
        <f t="shared" si="1"/>
        <v>Jan-2025</v>
      </c>
      <c r="D96" t="s">
        <v>227</v>
      </c>
      <c r="E96" t="s">
        <v>107</v>
      </c>
      <c r="F96" t="s">
        <v>17</v>
      </c>
      <c r="G96" s="2">
        <v>4</v>
      </c>
      <c r="H96" s="3">
        <v>3000</v>
      </c>
      <c r="I96" s="3">
        <v>12000</v>
      </c>
      <c r="J96" s="3">
        <v>8800</v>
      </c>
      <c r="K96" s="3">
        <v>3200</v>
      </c>
      <c r="L96" t="s">
        <v>42</v>
      </c>
      <c r="M96" t="s">
        <v>30</v>
      </c>
    </row>
    <row r="97" spans="1:13">
      <c r="A97" t="s">
        <v>228</v>
      </c>
      <c r="B97" s="1" t="s">
        <v>115</v>
      </c>
      <c r="C97" s="1" t="str">
        <f t="shared" si="1"/>
        <v>Jan-2025</v>
      </c>
      <c r="D97" t="s">
        <v>229</v>
      </c>
      <c r="E97" t="s">
        <v>16</v>
      </c>
      <c r="F97" t="s">
        <v>17</v>
      </c>
      <c r="G97" s="2">
        <v>2</v>
      </c>
      <c r="H97" s="3">
        <v>2500</v>
      </c>
      <c r="I97" s="3">
        <v>5000</v>
      </c>
      <c r="J97" s="3">
        <v>3600</v>
      </c>
      <c r="K97" s="3">
        <v>1400</v>
      </c>
      <c r="L97" t="s">
        <v>42</v>
      </c>
      <c r="M97" t="s">
        <v>19</v>
      </c>
    </row>
    <row r="98" spans="1:13">
      <c r="A98" t="s">
        <v>230</v>
      </c>
      <c r="B98" s="1" t="s">
        <v>115</v>
      </c>
      <c r="C98" s="1" t="str">
        <f t="shared" si="1"/>
        <v>Jan-2025</v>
      </c>
      <c r="D98" t="s">
        <v>231</v>
      </c>
      <c r="E98" t="s">
        <v>16</v>
      </c>
      <c r="F98" t="s">
        <v>17</v>
      </c>
      <c r="G98" s="2">
        <v>4</v>
      </c>
      <c r="H98" s="3">
        <v>2500</v>
      </c>
      <c r="I98" s="3">
        <v>10000</v>
      </c>
      <c r="J98" s="3">
        <v>7200</v>
      </c>
      <c r="K98" s="3">
        <v>2800</v>
      </c>
      <c r="L98" t="s">
        <v>42</v>
      </c>
      <c r="M98" t="s">
        <v>30</v>
      </c>
    </row>
    <row r="99" spans="1:13">
      <c r="A99" t="s">
        <v>232</v>
      </c>
      <c r="B99" s="1" t="s">
        <v>77</v>
      </c>
      <c r="C99" s="1" t="str">
        <f t="shared" si="1"/>
        <v>Jan-2025</v>
      </c>
      <c r="D99" t="s">
        <v>46</v>
      </c>
      <c r="E99" t="s">
        <v>55</v>
      </c>
      <c r="F99" t="s">
        <v>56</v>
      </c>
      <c r="G99" s="2">
        <v>3</v>
      </c>
      <c r="H99" s="3">
        <v>800</v>
      </c>
      <c r="I99" s="3">
        <v>2400</v>
      </c>
      <c r="J99" s="3">
        <v>1200</v>
      </c>
      <c r="K99" s="3">
        <v>1200</v>
      </c>
      <c r="L99" t="s">
        <v>25</v>
      </c>
      <c r="M99" t="s">
        <v>100</v>
      </c>
    </row>
    <row r="100" spans="1:13">
      <c r="A100" t="s">
        <v>233</v>
      </c>
      <c r="B100" s="1" t="s">
        <v>53</v>
      </c>
      <c r="C100" s="1" t="str">
        <f t="shared" si="1"/>
        <v>Jan-2025</v>
      </c>
      <c r="D100" t="s">
        <v>205</v>
      </c>
      <c r="E100" t="s">
        <v>41</v>
      </c>
      <c r="F100" t="s">
        <v>24</v>
      </c>
      <c r="G100" s="2">
        <v>3</v>
      </c>
      <c r="H100" s="3">
        <v>1800</v>
      </c>
      <c r="I100" s="3">
        <v>5400</v>
      </c>
      <c r="J100" s="3">
        <v>3600</v>
      </c>
      <c r="K100" s="3">
        <v>1800</v>
      </c>
      <c r="L100" t="s">
        <v>25</v>
      </c>
      <c r="M100" t="s">
        <v>57</v>
      </c>
    </row>
    <row r="101" spans="1:13">
      <c r="A101" t="s">
        <v>234</v>
      </c>
      <c r="B101" s="1" t="s">
        <v>203</v>
      </c>
      <c r="C101" s="1" t="str">
        <f t="shared" si="1"/>
        <v>Jan-2025</v>
      </c>
      <c r="D101" t="s">
        <v>86</v>
      </c>
      <c r="E101" t="s">
        <v>107</v>
      </c>
      <c r="F101" t="s">
        <v>17</v>
      </c>
      <c r="G101" s="2">
        <v>3</v>
      </c>
      <c r="H101" s="3">
        <v>3000</v>
      </c>
      <c r="I101" s="3">
        <v>9000</v>
      </c>
      <c r="J101" s="3">
        <v>6600</v>
      </c>
      <c r="K101" s="3">
        <v>2400</v>
      </c>
      <c r="L101" t="s">
        <v>18</v>
      </c>
      <c r="M101" t="s">
        <v>43</v>
      </c>
    </row>
    <row r="102" spans="1:13">
      <c r="A102" t="s">
        <v>235</v>
      </c>
      <c r="B102" s="1" t="s">
        <v>156</v>
      </c>
      <c r="C102" s="1" t="str">
        <f t="shared" si="1"/>
        <v>Jan-2025</v>
      </c>
      <c r="D102" t="s">
        <v>166</v>
      </c>
      <c r="E102" t="s">
        <v>55</v>
      </c>
      <c r="F102" t="s">
        <v>56</v>
      </c>
      <c r="G102" s="2">
        <v>4</v>
      </c>
      <c r="H102" s="3">
        <v>800</v>
      </c>
      <c r="I102" s="3">
        <v>3200</v>
      </c>
      <c r="J102" s="3">
        <v>1600</v>
      </c>
      <c r="K102" s="3">
        <v>1600</v>
      </c>
      <c r="L102" t="s">
        <v>25</v>
      </c>
      <c r="M102" t="s">
        <v>34</v>
      </c>
    </row>
    <row r="103" spans="1:13">
      <c r="A103" t="s">
        <v>236</v>
      </c>
      <c r="B103" s="1" t="s">
        <v>53</v>
      </c>
      <c r="C103" s="1" t="str">
        <f t="shared" si="1"/>
        <v>Jan-2025</v>
      </c>
      <c r="D103" t="s">
        <v>237</v>
      </c>
      <c r="E103" t="s">
        <v>41</v>
      </c>
      <c r="F103" t="s">
        <v>24</v>
      </c>
      <c r="G103" s="2">
        <v>4</v>
      </c>
      <c r="H103" s="3">
        <v>1800</v>
      </c>
      <c r="I103" s="3">
        <v>7200</v>
      </c>
      <c r="J103" s="3">
        <v>4800</v>
      </c>
      <c r="K103" s="3">
        <v>2400</v>
      </c>
      <c r="L103" t="s">
        <v>18</v>
      </c>
      <c r="M103" t="s">
        <v>19</v>
      </c>
    </row>
    <row r="104" spans="1:13">
      <c r="A104" t="s">
        <v>238</v>
      </c>
      <c r="B104" s="1" t="s">
        <v>74</v>
      </c>
      <c r="C104" s="1" t="str">
        <f t="shared" si="1"/>
        <v>Jan-2025</v>
      </c>
      <c r="D104" t="s">
        <v>227</v>
      </c>
      <c r="E104" t="s">
        <v>16</v>
      </c>
      <c r="F104" t="s">
        <v>17</v>
      </c>
      <c r="G104" s="2">
        <v>1</v>
      </c>
      <c r="H104" s="3">
        <v>2500</v>
      </c>
      <c r="I104" s="3">
        <v>2500</v>
      </c>
      <c r="J104" s="3">
        <v>1800</v>
      </c>
      <c r="K104" s="3">
        <v>700</v>
      </c>
      <c r="L104" t="s">
        <v>18</v>
      </c>
      <c r="M104" t="s">
        <v>30</v>
      </c>
    </row>
    <row r="105" spans="1:13">
      <c r="A105" t="s">
        <v>239</v>
      </c>
      <c r="B105" s="1" t="s">
        <v>140</v>
      </c>
      <c r="C105" s="1" t="str">
        <f t="shared" si="1"/>
        <v>Jan-2025</v>
      </c>
      <c r="D105" t="s">
        <v>205</v>
      </c>
      <c r="E105" t="s">
        <v>55</v>
      </c>
      <c r="F105" t="s">
        <v>56</v>
      </c>
      <c r="G105" s="2">
        <v>3</v>
      </c>
      <c r="H105" s="3">
        <v>800</v>
      </c>
      <c r="I105" s="3">
        <v>2400</v>
      </c>
      <c r="J105" s="3">
        <v>1200</v>
      </c>
      <c r="K105" s="3">
        <v>1200</v>
      </c>
      <c r="L105" t="s">
        <v>25</v>
      </c>
      <c r="M105" t="s">
        <v>34</v>
      </c>
    </row>
    <row r="106" spans="1:13">
      <c r="A106" t="s">
        <v>240</v>
      </c>
      <c r="B106" s="1" t="s">
        <v>45</v>
      </c>
      <c r="C106" s="1" t="str">
        <f t="shared" si="1"/>
        <v>Jan-2025</v>
      </c>
      <c r="D106" t="s">
        <v>241</v>
      </c>
      <c r="E106" t="s">
        <v>55</v>
      </c>
      <c r="F106" t="s">
        <v>56</v>
      </c>
      <c r="G106" s="2">
        <v>1</v>
      </c>
      <c r="H106" s="3">
        <v>800</v>
      </c>
      <c r="I106" s="3">
        <v>800</v>
      </c>
      <c r="J106" s="3">
        <v>400</v>
      </c>
      <c r="K106" s="3">
        <v>400</v>
      </c>
      <c r="L106" t="s">
        <v>18</v>
      </c>
      <c r="M106" t="s">
        <v>30</v>
      </c>
    </row>
    <row r="107" spans="1:13">
      <c r="A107" t="s">
        <v>242</v>
      </c>
      <c r="B107" s="1" t="s">
        <v>32</v>
      </c>
      <c r="C107" s="1" t="str">
        <f t="shared" si="1"/>
        <v>Jan-2025</v>
      </c>
      <c r="D107" t="s">
        <v>154</v>
      </c>
      <c r="E107" t="s">
        <v>29</v>
      </c>
      <c r="F107" t="s">
        <v>17</v>
      </c>
      <c r="G107" s="2">
        <v>3</v>
      </c>
      <c r="H107" s="3">
        <v>1200</v>
      </c>
      <c r="I107" s="3">
        <v>3600</v>
      </c>
      <c r="J107" s="3">
        <v>2400</v>
      </c>
      <c r="K107" s="3">
        <v>1200</v>
      </c>
      <c r="L107" t="s">
        <v>25</v>
      </c>
      <c r="M107" t="s">
        <v>43</v>
      </c>
    </row>
    <row r="108" spans="1:13">
      <c r="A108" t="s">
        <v>243</v>
      </c>
      <c r="B108" s="1" t="s">
        <v>95</v>
      </c>
      <c r="C108" s="1" t="str">
        <f t="shared" si="1"/>
        <v>Jan-2025</v>
      </c>
      <c r="D108" t="s">
        <v>244</v>
      </c>
      <c r="E108" t="s">
        <v>41</v>
      </c>
      <c r="F108" t="s">
        <v>24</v>
      </c>
      <c r="G108" s="2">
        <v>1</v>
      </c>
      <c r="H108" s="3">
        <v>1800</v>
      </c>
      <c r="I108" s="3">
        <v>1800</v>
      </c>
      <c r="J108" s="3">
        <v>1200</v>
      </c>
      <c r="K108" s="3">
        <v>600</v>
      </c>
      <c r="L108" t="s">
        <v>25</v>
      </c>
      <c r="M108" t="s">
        <v>19</v>
      </c>
    </row>
    <row r="109" spans="1:13">
      <c r="A109" t="s">
        <v>245</v>
      </c>
      <c r="B109" s="1" t="s">
        <v>53</v>
      </c>
      <c r="C109" s="1" t="str">
        <f t="shared" si="1"/>
        <v>Jan-2025</v>
      </c>
      <c r="D109" t="s">
        <v>154</v>
      </c>
      <c r="E109" t="s">
        <v>23</v>
      </c>
      <c r="F109" t="s">
        <v>24</v>
      </c>
      <c r="G109" s="2">
        <v>4</v>
      </c>
      <c r="H109" s="3">
        <v>4000</v>
      </c>
      <c r="I109" s="3">
        <v>16000</v>
      </c>
      <c r="J109" s="3">
        <v>12000</v>
      </c>
      <c r="K109" s="3">
        <v>4000</v>
      </c>
      <c r="L109" t="s">
        <v>18</v>
      </c>
      <c r="M109" t="s">
        <v>19</v>
      </c>
    </row>
    <row r="110" spans="1:13">
      <c r="A110" t="s">
        <v>246</v>
      </c>
      <c r="B110" s="1" t="s">
        <v>178</v>
      </c>
      <c r="C110" s="1" t="str">
        <f t="shared" si="1"/>
        <v>Jan-2025</v>
      </c>
      <c r="D110" t="s">
        <v>15</v>
      </c>
      <c r="E110" t="s">
        <v>16</v>
      </c>
      <c r="F110" t="s">
        <v>17</v>
      </c>
      <c r="G110" s="2">
        <v>4</v>
      </c>
      <c r="H110" s="3">
        <v>2500</v>
      </c>
      <c r="I110" s="3">
        <v>10000</v>
      </c>
      <c r="J110" s="3">
        <v>7200</v>
      </c>
      <c r="K110" s="3">
        <v>2800</v>
      </c>
      <c r="L110" t="s">
        <v>18</v>
      </c>
      <c r="M110" t="s">
        <v>34</v>
      </c>
    </row>
    <row r="111" spans="1:13">
      <c r="A111" t="s">
        <v>247</v>
      </c>
      <c r="B111" s="1" t="s">
        <v>51</v>
      </c>
      <c r="C111" s="1" t="str">
        <f t="shared" si="1"/>
        <v>Jan-2025</v>
      </c>
      <c r="D111" t="s">
        <v>15</v>
      </c>
      <c r="E111" t="s">
        <v>41</v>
      </c>
      <c r="F111" t="s">
        <v>24</v>
      </c>
      <c r="G111" s="2">
        <v>4</v>
      </c>
      <c r="H111" s="3">
        <v>1800</v>
      </c>
      <c r="I111" s="3">
        <v>7200</v>
      </c>
      <c r="J111" s="3">
        <v>4800</v>
      </c>
      <c r="K111" s="3">
        <v>2400</v>
      </c>
      <c r="L111" t="s">
        <v>42</v>
      </c>
      <c r="M111" t="s">
        <v>57</v>
      </c>
    </row>
    <row r="112" spans="1:13">
      <c r="A112" t="s">
        <v>248</v>
      </c>
      <c r="B112" s="1" t="s">
        <v>140</v>
      </c>
      <c r="C112" s="1" t="str">
        <f t="shared" si="1"/>
        <v>Jan-2025</v>
      </c>
      <c r="D112" t="s">
        <v>175</v>
      </c>
      <c r="E112" t="s">
        <v>107</v>
      </c>
      <c r="F112" t="s">
        <v>17</v>
      </c>
      <c r="G112" s="2">
        <v>2</v>
      </c>
      <c r="H112" s="3">
        <v>3000</v>
      </c>
      <c r="I112" s="3">
        <v>6000</v>
      </c>
      <c r="J112" s="3">
        <v>4400</v>
      </c>
      <c r="K112" s="3">
        <v>1600</v>
      </c>
      <c r="L112" t="s">
        <v>42</v>
      </c>
      <c r="M112" t="s">
        <v>100</v>
      </c>
    </row>
    <row r="113" spans="1:13">
      <c r="A113" t="s">
        <v>249</v>
      </c>
      <c r="B113" s="1" t="s">
        <v>64</v>
      </c>
      <c r="C113" s="1" t="str">
        <f t="shared" si="1"/>
        <v>Jan-2025</v>
      </c>
      <c r="D113" t="s">
        <v>37</v>
      </c>
      <c r="E113" t="s">
        <v>16</v>
      </c>
      <c r="F113" t="s">
        <v>17</v>
      </c>
      <c r="G113" s="2">
        <v>4</v>
      </c>
      <c r="H113" s="3">
        <v>2500</v>
      </c>
      <c r="I113" s="3">
        <v>10000</v>
      </c>
      <c r="J113" s="3">
        <v>7200</v>
      </c>
      <c r="K113" s="3">
        <v>2800</v>
      </c>
      <c r="L113" t="s">
        <v>25</v>
      </c>
      <c r="M113" t="s">
        <v>30</v>
      </c>
    </row>
    <row r="114" spans="1:13">
      <c r="A114" t="s">
        <v>250</v>
      </c>
      <c r="B114" s="1" t="s">
        <v>120</v>
      </c>
      <c r="C114" s="1" t="str">
        <f t="shared" si="1"/>
        <v>Jan-2025</v>
      </c>
      <c r="D114" t="s">
        <v>218</v>
      </c>
      <c r="E114" t="s">
        <v>41</v>
      </c>
      <c r="F114" t="s">
        <v>24</v>
      </c>
      <c r="G114" s="2">
        <v>2</v>
      </c>
      <c r="H114" s="3">
        <v>1800</v>
      </c>
      <c r="I114" s="3">
        <v>3600</v>
      </c>
      <c r="J114" s="3">
        <v>2400</v>
      </c>
      <c r="K114" s="3">
        <v>1200</v>
      </c>
      <c r="L114" t="s">
        <v>25</v>
      </c>
      <c r="M114" t="s">
        <v>43</v>
      </c>
    </row>
    <row r="115" spans="1:13">
      <c r="A115" t="s">
        <v>251</v>
      </c>
      <c r="B115" s="1" t="s">
        <v>98</v>
      </c>
      <c r="C115" s="1" t="str">
        <f t="shared" si="1"/>
        <v>Jan-2025</v>
      </c>
      <c r="D115" t="s">
        <v>81</v>
      </c>
      <c r="E115" t="s">
        <v>107</v>
      </c>
      <c r="F115" t="s">
        <v>17</v>
      </c>
      <c r="G115" s="2">
        <v>2</v>
      </c>
      <c r="H115" s="3">
        <v>3000</v>
      </c>
      <c r="I115" s="3">
        <v>6000</v>
      </c>
      <c r="J115" s="3">
        <v>4400</v>
      </c>
      <c r="K115" s="3">
        <v>1600</v>
      </c>
      <c r="L115" t="s">
        <v>18</v>
      </c>
      <c r="M115" t="s">
        <v>57</v>
      </c>
    </row>
    <row r="116" spans="1:13">
      <c r="A116" t="s">
        <v>252</v>
      </c>
      <c r="B116" s="1" t="s">
        <v>120</v>
      </c>
      <c r="C116" s="1" t="str">
        <f t="shared" si="1"/>
        <v>Jan-2025</v>
      </c>
      <c r="D116" t="s">
        <v>227</v>
      </c>
      <c r="E116" t="s">
        <v>41</v>
      </c>
      <c r="F116" t="s">
        <v>24</v>
      </c>
      <c r="G116" s="2">
        <v>3</v>
      </c>
      <c r="H116" s="3">
        <v>1800</v>
      </c>
      <c r="I116" s="3">
        <v>5400</v>
      </c>
      <c r="J116" s="3">
        <v>3600</v>
      </c>
      <c r="K116" s="3">
        <v>1800</v>
      </c>
      <c r="L116" t="s">
        <v>18</v>
      </c>
      <c r="M116" t="s">
        <v>43</v>
      </c>
    </row>
    <row r="117" spans="1:13">
      <c r="A117" t="s">
        <v>253</v>
      </c>
      <c r="B117" s="1" t="s">
        <v>74</v>
      </c>
      <c r="C117" s="1" t="str">
        <f t="shared" si="1"/>
        <v>Jan-2025</v>
      </c>
      <c r="D117" t="s">
        <v>116</v>
      </c>
      <c r="E117" t="s">
        <v>41</v>
      </c>
      <c r="F117" t="s">
        <v>24</v>
      </c>
      <c r="G117" s="2">
        <v>3</v>
      </c>
      <c r="H117" s="3">
        <v>1800</v>
      </c>
      <c r="I117" s="3">
        <v>5400</v>
      </c>
      <c r="J117" s="3">
        <v>3600</v>
      </c>
      <c r="K117" s="3">
        <v>1800</v>
      </c>
      <c r="L117" t="s">
        <v>25</v>
      </c>
      <c r="M117" t="s">
        <v>43</v>
      </c>
    </row>
    <row r="118" spans="1:13">
      <c r="A118" t="s">
        <v>254</v>
      </c>
      <c r="B118" s="1" t="s">
        <v>178</v>
      </c>
      <c r="C118" s="1" t="str">
        <f t="shared" si="1"/>
        <v>Jan-2025</v>
      </c>
      <c r="D118" t="s">
        <v>62</v>
      </c>
      <c r="E118" t="s">
        <v>41</v>
      </c>
      <c r="F118" t="s">
        <v>24</v>
      </c>
      <c r="G118" s="2">
        <v>4</v>
      </c>
      <c r="H118" s="3">
        <v>1800</v>
      </c>
      <c r="I118" s="3">
        <v>7200</v>
      </c>
      <c r="J118" s="3">
        <v>4800</v>
      </c>
      <c r="K118" s="3">
        <v>2400</v>
      </c>
      <c r="L118" t="s">
        <v>25</v>
      </c>
      <c r="M118" t="s">
        <v>100</v>
      </c>
    </row>
    <row r="119" spans="1:13">
      <c r="A119" t="s">
        <v>255</v>
      </c>
      <c r="B119" s="1" t="s">
        <v>98</v>
      </c>
      <c r="C119" s="1" t="str">
        <f t="shared" si="1"/>
        <v>Jan-2025</v>
      </c>
      <c r="D119" t="s">
        <v>159</v>
      </c>
      <c r="E119" t="s">
        <v>29</v>
      </c>
      <c r="F119" t="s">
        <v>17</v>
      </c>
      <c r="G119" s="2">
        <v>1</v>
      </c>
      <c r="H119" s="3">
        <v>1200</v>
      </c>
      <c r="I119" s="3">
        <v>1200</v>
      </c>
      <c r="J119" s="3">
        <v>800</v>
      </c>
      <c r="K119" s="3">
        <v>400</v>
      </c>
      <c r="L119" t="s">
        <v>42</v>
      </c>
      <c r="M119" t="s">
        <v>30</v>
      </c>
    </row>
    <row r="120" spans="1:13">
      <c r="A120" t="s">
        <v>256</v>
      </c>
      <c r="B120" s="1" t="s">
        <v>69</v>
      </c>
      <c r="C120" s="1" t="str">
        <f t="shared" si="1"/>
        <v>Jan-2025</v>
      </c>
      <c r="D120" t="s">
        <v>144</v>
      </c>
      <c r="E120" t="s">
        <v>55</v>
      </c>
      <c r="F120" t="s">
        <v>56</v>
      </c>
      <c r="G120" s="2">
        <v>2</v>
      </c>
      <c r="H120" s="3">
        <v>800</v>
      </c>
      <c r="I120" s="3">
        <v>1600</v>
      </c>
      <c r="J120" s="3">
        <v>800</v>
      </c>
      <c r="K120" s="3">
        <v>800</v>
      </c>
      <c r="L120" t="s">
        <v>18</v>
      </c>
      <c r="M120" t="s">
        <v>34</v>
      </c>
    </row>
    <row r="121" spans="1:13">
      <c r="A121" t="s">
        <v>257</v>
      </c>
      <c r="B121" s="1" t="s">
        <v>45</v>
      </c>
      <c r="C121" s="1" t="str">
        <f t="shared" si="1"/>
        <v>Jan-2025</v>
      </c>
      <c r="D121" t="s">
        <v>149</v>
      </c>
      <c r="E121" t="s">
        <v>107</v>
      </c>
      <c r="F121" t="s">
        <v>17</v>
      </c>
      <c r="G121" s="2">
        <v>4</v>
      </c>
      <c r="H121" s="3">
        <v>3000</v>
      </c>
      <c r="I121" s="3">
        <v>12000</v>
      </c>
      <c r="J121" s="3">
        <v>8800</v>
      </c>
      <c r="K121" s="3">
        <v>3200</v>
      </c>
      <c r="L121" t="s">
        <v>18</v>
      </c>
      <c r="M121" t="s">
        <v>34</v>
      </c>
    </row>
    <row r="122" spans="1:13">
      <c r="A122" t="s">
        <v>258</v>
      </c>
      <c r="B122" s="1" t="s">
        <v>158</v>
      </c>
      <c r="C122" s="1" t="str">
        <f t="shared" si="1"/>
        <v>Jan-2025</v>
      </c>
      <c r="D122" t="s">
        <v>70</v>
      </c>
      <c r="E122" t="s">
        <v>107</v>
      </c>
      <c r="F122" t="s">
        <v>17</v>
      </c>
      <c r="G122" s="2">
        <v>1</v>
      </c>
      <c r="H122" s="3">
        <v>3000</v>
      </c>
      <c r="I122" s="3">
        <v>3000</v>
      </c>
      <c r="J122" s="3">
        <v>2200</v>
      </c>
      <c r="K122" s="3">
        <v>800</v>
      </c>
      <c r="L122" t="s">
        <v>42</v>
      </c>
      <c r="M122" t="s">
        <v>19</v>
      </c>
    </row>
    <row r="123" spans="1:13">
      <c r="A123" t="s">
        <v>259</v>
      </c>
      <c r="B123" s="1" t="s">
        <v>98</v>
      </c>
      <c r="C123" s="1" t="str">
        <f t="shared" si="1"/>
        <v>Jan-2025</v>
      </c>
      <c r="D123" t="s">
        <v>223</v>
      </c>
      <c r="E123" t="s">
        <v>107</v>
      </c>
      <c r="F123" t="s">
        <v>17</v>
      </c>
      <c r="G123" s="2">
        <v>3</v>
      </c>
      <c r="H123" s="3">
        <v>3000</v>
      </c>
      <c r="I123" s="3">
        <v>9000</v>
      </c>
      <c r="J123" s="3">
        <v>6600</v>
      </c>
      <c r="K123" s="3">
        <v>2400</v>
      </c>
      <c r="L123" t="s">
        <v>18</v>
      </c>
      <c r="M123" t="s">
        <v>30</v>
      </c>
    </row>
    <row r="124" spans="1:13">
      <c r="A124" t="s">
        <v>260</v>
      </c>
      <c r="B124" s="1" t="s">
        <v>158</v>
      </c>
      <c r="C124" s="1" t="str">
        <f t="shared" si="1"/>
        <v>Jan-2025</v>
      </c>
      <c r="D124" t="s">
        <v>261</v>
      </c>
      <c r="E124" t="s">
        <v>55</v>
      </c>
      <c r="F124" t="s">
        <v>56</v>
      </c>
      <c r="G124" s="2">
        <v>4</v>
      </c>
      <c r="H124" s="3">
        <v>800</v>
      </c>
      <c r="I124" s="3">
        <v>3200</v>
      </c>
      <c r="J124" s="3">
        <v>1600</v>
      </c>
      <c r="K124" s="3">
        <v>1600</v>
      </c>
      <c r="L124" t="s">
        <v>18</v>
      </c>
      <c r="M124" t="s">
        <v>19</v>
      </c>
    </row>
    <row r="125" spans="1:13">
      <c r="A125" t="s">
        <v>262</v>
      </c>
      <c r="B125" s="1" t="s">
        <v>14</v>
      </c>
      <c r="C125" s="1" t="str">
        <f t="shared" si="1"/>
        <v>Jan-2025</v>
      </c>
      <c r="D125" t="s">
        <v>263</v>
      </c>
      <c r="E125" t="s">
        <v>16</v>
      </c>
      <c r="F125" t="s">
        <v>17</v>
      </c>
      <c r="G125" s="2">
        <v>1</v>
      </c>
      <c r="H125" s="3">
        <v>2500</v>
      </c>
      <c r="I125" s="3">
        <v>2500</v>
      </c>
      <c r="J125" s="3">
        <v>1800</v>
      </c>
      <c r="K125" s="3">
        <v>700</v>
      </c>
      <c r="L125" t="s">
        <v>42</v>
      </c>
      <c r="M125" t="s">
        <v>30</v>
      </c>
    </row>
    <row r="126" spans="1:13">
      <c r="A126" t="s">
        <v>264</v>
      </c>
      <c r="B126" s="1" t="s">
        <v>51</v>
      </c>
      <c r="C126" s="1" t="str">
        <f t="shared" si="1"/>
        <v>Jan-2025</v>
      </c>
      <c r="D126" t="s">
        <v>265</v>
      </c>
      <c r="E126" t="s">
        <v>55</v>
      </c>
      <c r="F126" t="s">
        <v>56</v>
      </c>
      <c r="G126" s="2">
        <v>2</v>
      </c>
      <c r="H126" s="3">
        <v>800</v>
      </c>
      <c r="I126" s="3">
        <v>1600</v>
      </c>
      <c r="J126" s="3">
        <v>800</v>
      </c>
      <c r="K126" s="3">
        <v>800</v>
      </c>
      <c r="L126" t="s">
        <v>42</v>
      </c>
      <c r="M126" t="s">
        <v>34</v>
      </c>
    </row>
    <row r="127" spans="1:13">
      <c r="A127" t="s">
        <v>266</v>
      </c>
      <c r="B127" s="1" t="s">
        <v>212</v>
      </c>
      <c r="C127" s="1" t="str">
        <f t="shared" si="1"/>
        <v>Jan-2025</v>
      </c>
      <c r="D127" t="s">
        <v>78</v>
      </c>
      <c r="E127" t="s">
        <v>23</v>
      </c>
      <c r="F127" t="s">
        <v>24</v>
      </c>
      <c r="G127" s="2">
        <v>3</v>
      </c>
      <c r="H127" s="3">
        <v>4000</v>
      </c>
      <c r="I127" s="3">
        <v>12000</v>
      </c>
      <c r="J127" s="3">
        <v>9000</v>
      </c>
      <c r="K127" s="3">
        <v>3000</v>
      </c>
      <c r="L127" t="s">
        <v>18</v>
      </c>
      <c r="M127" t="s">
        <v>34</v>
      </c>
    </row>
    <row r="128" spans="1:13">
      <c r="A128" t="s">
        <v>267</v>
      </c>
      <c r="B128" s="1" t="s">
        <v>48</v>
      </c>
      <c r="C128" s="1" t="str">
        <f t="shared" si="1"/>
        <v>Jan-2025</v>
      </c>
      <c r="D128" t="s">
        <v>126</v>
      </c>
      <c r="E128" t="s">
        <v>55</v>
      </c>
      <c r="F128" t="s">
        <v>56</v>
      </c>
      <c r="G128" s="2">
        <v>2</v>
      </c>
      <c r="H128" s="3">
        <v>800</v>
      </c>
      <c r="I128" s="3">
        <v>1600</v>
      </c>
      <c r="J128" s="3">
        <v>800</v>
      </c>
      <c r="K128" s="3">
        <v>800</v>
      </c>
      <c r="L128" t="s">
        <v>25</v>
      </c>
      <c r="M128" t="s">
        <v>30</v>
      </c>
    </row>
    <row r="129" spans="1:13">
      <c r="A129" t="s">
        <v>268</v>
      </c>
      <c r="B129" s="1" t="s">
        <v>140</v>
      </c>
      <c r="C129" s="1" t="str">
        <f t="shared" si="1"/>
        <v>Jan-2025</v>
      </c>
      <c r="D129" t="s">
        <v>269</v>
      </c>
      <c r="E129" t="s">
        <v>23</v>
      </c>
      <c r="F129" t="s">
        <v>24</v>
      </c>
      <c r="G129" s="2">
        <v>4</v>
      </c>
      <c r="H129" s="3">
        <v>4000</v>
      </c>
      <c r="I129" s="3">
        <v>16000</v>
      </c>
      <c r="J129" s="3">
        <v>12000</v>
      </c>
      <c r="K129" s="3">
        <v>4000</v>
      </c>
      <c r="L129" t="s">
        <v>42</v>
      </c>
      <c r="M129" t="s">
        <v>34</v>
      </c>
    </row>
    <row r="130" spans="1:13">
      <c r="A130" t="s">
        <v>270</v>
      </c>
      <c r="B130" s="1" t="s">
        <v>74</v>
      </c>
      <c r="C130" s="1" t="str">
        <f t="shared" si="1"/>
        <v>Jan-2025</v>
      </c>
      <c r="D130" t="s">
        <v>175</v>
      </c>
      <c r="E130" t="s">
        <v>55</v>
      </c>
      <c r="F130" t="s">
        <v>56</v>
      </c>
      <c r="G130" s="2">
        <v>1</v>
      </c>
      <c r="H130" s="3">
        <v>800</v>
      </c>
      <c r="I130" s="3">
        <v>800</v>
      </c>
      <c r="J130" s="3">
        <v>400</v>
      </c>
      <c r="K130" s="3">
        <v>400</v>
      </c>
      <c r="L130" t="s">
        <v>25</v>
      </c>
      <c r="M130" t="s">
        <v>30</v>
      </c>
    </row>
    <row r="131" spans="1:13">
      <c r="A131" t="s">
        <v>271</v>
      </c>
      <c r="B131" s="1" t="s">
        <v>77</v>
      </c>
      <c r="C131" s="1" t="str">
        <f t="shared" ref="C131:C194" si="2">TEXT(B131,"MMM-YYYY")</f>
        <v>Jan-2025</v>
      </c>
      <c r="D131" t="s">
        <v>37</v>
      </c>
      <c r="E131" t="s">
        <v>55</v>
      </c>
      <c r="F131" t="s">
        <v>56</v>
      </c>
      <c r="G131" s="2">
        <v>3</v>
      </c>
      <c r="H131" s="3">
        <v>800</v>
      </c>
      <c r="I131" s="3">
        <v>2400</v>
      </c>
      <c r="J131" s="3">
        <v>1200</v>
      </c>
      <c r="K131" s="3">
        <v>1200</v>
      </c>
      <c r="L131" t="s">
        <v>18</v>
      </c>
      <c r="M131" t="s">
        <v>30</v>
      </c>
    </row>
    <row r="132" spans="1:13">
      <c r="A132" t="s">
        <v>272</v>
      </c>
      <c r="B132" s="1" t="s">
        <v>77</v>
      </c>
      <c r="C132" s="1" t="str">
        <f t="shared" si="2"/>
        <v>Jan-2025</v>
      </c>
      <c r="D132" t="s">
        <v>273</v>
      </c>
      <c r="E132" t="s">
        <v>55</v>
      </c>
      <c r="F132" t="s">
        <v>56</v>
      </c>
      <c r="G132" s="2">
        <v>2</v>
      </c>
      <c r="H132" s="3">
        <v>800</v>
      </c>
      <c r="I132" s="3">
        <v>1600</v>
      </c>
      <c r="J132" s="3">
        <v>800</v>
      </c>
      <c r="K132" s="3">
        <v>800</v>
      </c>
      <c r="L132" t="s">
        <v>18</v>
      </c>
      <c r="M132" t="s">
        <v>57</v>
      </c>
    </row>
    <row r="133" spans="1:13">
      <c r="A133" t="s">
        <v>274</v>
      </c>
      <c r="B133" s="1" t="s">
        <v>120</v>
      </c>
      <c r="C133" s="1" t="str">
        <f t="shared" si="2"/>
        <v>Jan-2025</v>
      </c>
      <c r="D133" t="s">
        <v>273</v>
      </c>
      <c r="E133" t="s">
        <v>16</v>
      </c>
      <c r="F133" t="s">
        <v>17</v>
      </c>
      <c r="G133" s="2">
        <v>1</v>
      </c>
      <c r="H133" s="3">
        <v>2500</v>
      </c>
      <c r="I133" s="3">
        <v>2500</v>
      </c>
      <c r="J133" s="3">
        <v>1800</v>
      </c>
      <c r="K133" s="3">
        <v>700</v>
      </c>
      <c r="L133" t="s">
        <v>42</v>
      </c>
      <c r="M133" t="s">
        <v>100</v>
      </c>
    </row>
    <row r="134" spans="1:13">
      <c r="A134" t="s">
        <v>275</v>
      </c>
      <c r="B134" s="1" t="s">
        <v>21</v>
      </c>
      <c r="C134" s="1" t="str">
        <f t="shared" si="2"/>
        <v>Jan-2025</v>
      </c>
      <c r="D134" t="s">
        <v>276</v>
      </c>
      <c r="E134" t="s">
        <v>107</v>
      </c>
      <c r="F134" t="s">
        <v>17</v>
      </c>
      <c r="G134" s="2">
        <v>3</v>
      </c>
      <c r="H134" s="3">
        <v>3000</v>
      </c>
      <c r="I134" s="3">
        <v>9000</v>
      </c>
      <c r="J134" s="3">
        <v>6600</v>
      </c>
      <c r="K134" s="3">
        <v>2400</v>
      </c>
      <c r="L134" t="s">
        <v>18</v>
      </c>
      <c r="M134" t="s">
        <v>30</v>
      </c>
    </row>
    <row r="135" spans="1:13">
      <c r="A135" t="s">
        <v>277</v>
      </c>
      <c r="B135" s="1" t="s">
        <v>129</v>
      </c>
      <c r="C135" s="1" t="str">
        <f t="shared" si="2"/>
        <v>Jan-2025</v>
      </c>
      <c r="D135" t="s">
        <v>265</v>
      </c>
      <c r="E135" t="s">
        <v>41</v>
      </c>
      <c r="F135" t="s">
        <v>24</v>
      </c>
      <c r="G135" s="2">
        <v>3</v>
      </c>
      <c r="H135" s="3">
        <v>1800</v>
      </c>
      <c r="I135" s="3">
        <v>5400</v>
      </c>
      <c r="J135" s="3">
        <v>3600</v>
      </c>
      <c r="K135" s="3">
        <v>1800</v>
      </c>
      <c r="L135" t="s">
        <v>18</v>
      </c>
      <c r="M135" t="s">
        <v>19</v>
      </c>
    </row>
    <row r="136" spans="1:13">
      <c r="A136" t="s">
        <v>278</v>
      </c>
      <c r="B136" s="1" t="s">
        <v>45</v>
      </c>
      <c r="C136" s="1" t="str">
        <f t="shared" si="2"/>
        <v>Jan-2025</v>
      </c>
      <c r="D136" t="s">
        <v>75</v>
      </c>
      <c r="E136" t="s">
        <v>16</v>
      </c>
      <c r="F136" t="s">
        <v>17</v>
      </c>
      <c r="G136" s="2">
        <v>4</v>
      </c>
      <c r="H136" s="3">
        <v>2500</v>
      </c>
      <c r="I136" s="3">
        <v>10000</v>
      </c>
      <c r="J136" s="3">
        <v>7200</v>
      </c>
      <c r="K136" s="3">
        <v>2800</v>
      </c>
      <c r="L136" t="s">
        <v>18</v>
      </c>
      <c r="M136" t="s">
        <v>34</v>
      </c>
    </row>
    <row r="137" spans="1:13">
      <c r="A137" t="s">
        <v>279</v>
      </c>
      <c r="B137" s="1" t="s">
        <v>69</v>
      </c>
      <c r="C137" s="1" t="str">
        <f t="shared" si="2"/>
        <v>Jan-2025</v>
      </c>
      <c r="D137" t="s">
        <v>189</v>
      </c>
      <c r="E137" t="s">
        <v>29</v>
      </c>
      <c r="F137" t="s">
        <v>17</v>
      </c>
      <c r="G137" s="2">
        <v>4</v>
      </c>
      <c r="H137" s="3">
        <v>1200</v>
      </c>
      <c r="I137" s="3">
        <v>4800</v>
      </c>
      <c r="J137" s="3">
        <v>3200</v>
      </c>
      <c r="K137" s="3">
        <v>1600</v>
      </c>
      <c r="L137" t="s">
        <v>25</v>
      </c>
      <c r="M137" t="s">
        <v>30</v>
      </c>
    </row>
    <row r="138" spans="1:13">
      <c r="A138" t="s">
        <v>280</v>
      </c>
      <c r="B138" s="1" t="s">
        <v>53</v>
      </c>
      <c r="C138" s="1" t="str">
        <f t="shared" si="2"/>
        <v>Jan-2025</v>
      </c>
      <c r="D138" t="s">
        <v>144</v>
      </c>
      <c r="E138" t="s">
        <v>23</v>
      </c>
      <c r="F138" t="s">
        <v>24</v>
      </c>
      <c r="G138" s="2">
        <v>1</v>
      </c>
      <c r="H138" s="3">
        <v>4000</v>
      </c>
      <c r="I138" s="3">
        <v>4000</v>
      </c>
      <c r="J138" s="3">
        <v>3000</v>
      </c>
      <c r="K138" s="3">
        <v>1000</v>
      </c>
      <c r="L138" t="s">
        <v>42</v>
      </c>
      <c r="M138" t="s">
        <v>43</v>
      </c>
    </row>
    <row r="139" spans="1:13">
      <c r="A139" t="s">
        <v>281</v>
      </c>
      <c r="B139" s="1" t="s">
        <v>140</v>
      </c>
      <c r="C139" s="1" t="str">
        <f t="shared" si="2"/>
        <v>Jan-2025</v>
      </c>
      <c r="D139" t="s">
        <v>263</v>
      </c>
      <c r="E139" t="s">
        <v>55</v>
      </c>
      <c r="F139" t="s">
        <v>56</v>
      </c>
      <c r="G139" s="2">
        <v>1</v>
      </c>
      <c r="H139" s="3">
        <v>800</v>
      </c>
      <c r="I139" s="3">
        <v>800</v>
      </c>
      <c r="J139" s="3">
        <v>400</v>
      </c>
      <c r="K139" s="3">
        <v>400</v>
      </c>
      <c r="L139" t="s">
        <v>42</v>
      </c>
      <c r="M139" t="s">
        <v>57</v>
      </c>
    </row>
    <row r="140" spans="1:13">
      <c r="A140" t="s">
        <v>282</v>
      </c>
      <c r="B140" s="1" t="s">
        <v>178</v>
      </c>
      <c r="C140" s="1" t="str">
        <f t="shared" si="2"/>
        <v>Jan-2025</v>
      </c>
      <c r="D140" t="s">
        <v>126</v>
      </c>
      <c r="E140" t="s">
        <v>41</v>
      </c>
      <c r="F140" t="s">
        <v>24</v>
      </c>
      <c r="G140" s="2">
        <v>3</v>
      </c>
      <c r="H140" s="3">
        <v>1800</v>
      </c>
      <c r="I140" s="3">
        <v>5400</v>
      </c>
      <c r="J140" s="3">
        <v>3600</v>
      </c>
      <c r="K140" s="3">
        <v>1800</v>
      </c>
      <c r="L140" t="s">
        <v>25</v>
      </c>
      <c r="M140" t="s">
        <v>43</v>
      </c>
    </row>
    <row r="141" spans="1:13">
      <c r="A141" t="s">
        <v>283</v>
      </c>
      <c r="B141" s="1" t="s">
        <v>69</v>
      </c>
      <c r="C141" s="1" t="str">
        <f t="shared" si="2"/>
        <v>Jan-2025</v>
      </c>
      <c r="D141" t="s">
        <v>162</v>
      </c>
      <c r="E141" t="s">
        <v>107</v>
      </c>
      <c r="F141" t="s">
        <v>17</v>
      </c>
      <c r="G141" s="2">
        <v>3</v>
      </c>
      <c r="H141" s="3">
        <v>3000</v>
      </c>
      <c r="I141" s="3">
        <v>9000</v>
      </c>
      <c r="J141" s="3">
        <v>6600</v>
      </c>
      <c r="K141" s="3">
        <v>2400</v>
      </c>
      <c r="L141" t="s">
        <v>42</v>
      </c>
      <c r="M141" t="s">
        <v>34</v>
      </c>
    </row>
    <row r="142" spans="1:13">
      <c r="A142" t="s">
        <v>284</v>
      </c>
      <c r="B142" s="1" t="s">
        <v>95</v>
      </c>
      <c r="C142" s="1" t="str">
        <f t="shared" si="2"/>
        <v>Jan-2025</v>
      </c>
      <c r="D142" t="s">
        <v>205</v>
      </c>
      <c r="E142" t="s">
        <v>55</v>
      </c>
      <c r="F142" t="s">
        <v>56</v>
      </c>
      <c r="G142" s="2">
        <v>3</v>
      </c>
      <c r="H142" s="3">
        <v>800</v>
      </c>
      <c r="I142" s="3">
        <v>2400</v>
      </c>
      <c r="J142" s="3">
        <v>1200</v>
      </c>
      <c r="K142" s="3">
        <v>1200</v>
      </c>
      <c r="L142" t="s">
        <v>42</v>
      </c>
      <c r="M142" t="s">
        <v>30</v>
      </c>
    </row>
    <row r="143" spans="1:13">
      <c r="A143" t="s">
        <v>285</v>
      </c>
      <c r="B143" s="1" t="s">
        <v>61</v>
      </c>
      <c r="C143" s="1" t="str">
        <f t="shared" si="2"/>
        <v>Jan-2025</v>
      </c>
      <c r="D143" t="s">
        <v>179</v>
      </c>
      <c r="E143" t="s">
        <v>29</v>
      </c>
      <c r="F143" t="s">
        <v>17</v>
      </c>
      <c r="G143" s="2">
        <v>2</v>
      </c>
      <c r="H143" s="3">
        <v>1200</v>
      </c>
      <c r="I143" s="3">
        <v>2400</v>
      </c>
      <c r="J143" s="3">
        <v>1600</v>
      </c>
      <c r="K143" s="3">
        <v>800</v>
      </c>
      <c r="L143" t="s">
        <v>42</v>
      </c>
      <c r="M143" t="s">
        <v>30</v>
      </c>
    </row>
    <row r="144" spans="1:13">
      <c r="A144" t="s">
        <v>286</v>
      </c>
      <c r="B144" s="1" t="s">
        <v>48</v>
      </c>
      <c r="C144" s="1" t="str">
        <f t="shared" si="2"/>
        <v>Jan-2025</v>
      </c>
      <c r="D144" t="s">
        <v>164</v>
      </c>
      <c r="E144" t="s">
        <v>41</v>
      </c>
      <c r="F144" t="s">
        <v>24</v>
      </c>
      <c r="G144" s="2">
        <v>3</v>
      </c>
      <c r="H144" s="3">
        <v>1800</v>
      </c>
      <c r="I144" s="3">
        <v>5400</v>
      </c>
      <c r="J144" s="3">
        <v>3600</v>
      </c>
      <c r="K144" s="3">
        <v>1800</v>
      </c>
      <c r="L144" t="s">
        <v>42</v>
      </c>
      <c r="M144" t="s">
        <v>43</v>
      </c>
    </row>
    <row r="145" spans="1:13">
      <c r="A145" t="s">
        <v>287</v>
      </c>
      <c r="B145" s="1" t="s">
        <v>53</v>
      </c>
      <c r="C145" s="1" t="str">
        <f t="shared" si="2"/>
        <v>Jan-2025</v>
      </c>
      <c r="D145" t="s">
        <v>288</v>
      </c>
      <c r="E145" t="s">
        <v>23</v>
      </c>
      <c r="F145" t="s">
        <v>24</v>
      </c>
      <c r="G145" s="2">
        <v>4</v>
      </c>
      <c r="H145" s="3">
        <v>4000</v>
      </c>
      <c r="I145" s="3">
        <v>16000</v>
      </c>
      <c r="J145" s="3">
        <v>12000</v>
      </c>
      <c r="K145" s="3">
        <v>4000</v>
      </c>
      <c r="L145" t="s">
        <v>18</v>
      </c>
      <c r="M145" t="s">
        <v>34</v>
      </c>
    </row>
    <row r="146" spans="1:13">
      <c r="A146" t="s">
        <v>289</v>
      </c>
      <c r="B146" s="1" t="s">
        <v>14</v>
      </c>
      <c r="C146" s="1" t="str">
        <f t="shared" si="2"/>
        <v>Jan-2025</v>
      </c>
      <c r="D146" t="s">
        <v>164</v>
      </c>
      <c r="E146" t="s">
        <v>107</v>
      </c>
      <c r="F146" t="s">
        <v>17</v>
      </c>
      <c r="G146" s="2">
        <v>2</v>
      </c>
      <c r="H146" s="3">
        <v>3000</v>
      </c>
      <c r="I146" s="3">
        <v>6000</v>
      </c>
      <c r="J146" s="3">
        <v>4400</v>
      </c>
      <c r="K146" s="3">
        <v>1600</v>
      </c>
      <c r="L146" t="s">
        <v>42</v>
      </c>
      <c r="M146" t="s">
        <v>43</v>
      </c>
    </row>
    <row r="147" spans="1:13">
      <c r="A147" t="s">
        <v>290</v>
      </c>
      <c r="B147" s="1" t="s">
        <v>203</v>
      </c>
      <c r="C147" s="1" t="str">
        <f t="shared" si="2"/>
        <v>Jan-2025</v>
      </c>
      <c r="D147" t="s">
        <v>291</v>
      </c>
      <c r="E147" t="s">
        <v>55</v>
      </c>
      <c r="F147" t="s">
        <v>56</v>
      </c>
      <c r="G147" s="2">
        <v>1</v>
      </c>
      <c r="H147" s="3">
        <v>800</v>
      </c>
      <c r="I147" s="3">
        <v>800</v>
      </c>
      <c r="J147" s="3">
        <v>400</v>
      </c>
      <c r="K147" s="3">
        <v>400</v>
      </c>
      <c r="L147" t="s">
        <v>42</v>
      </c>
      <c r="M147" t="s">
        <v>19</v>
      </c>
    </row>
    <row r="148" spans="1:13">
      <c r="A148" t="s">
        <v>292</v>
      </c>
      <c r="B148" s="1" t="s">
        <v>51</v>
      </c>
      <c r="C148" s="1" t="str">
        <f t="shared" si="2"/>
        <v>Jan-2025</v>
      </c>
      <c r="D148" t="s">
        <v>293</v>
      </c>
      <c r="E148" t="s">
        <v>107</v>
      </c>
      <c r="F148" t="s">
        <v>17</v>
      </c>
      <c r="G148" s="2">
        <v>4</v>
      </c>
      <c r="H148" s="3">
        <v>3000</v>
      </c>
      <c r="I148" s="3">
        <v>12000</v>
      </c>
      <c r="J148" s="3">
        <v>8800</v>
      </c>
      <c r="K148" s="3">
        <v>3200</v>
      </c>
      <c r="L148" t="s">
        <v>25</v>
      </c>
      <c r="M148" t="s">
        <v>57</v>
      </c>
    </row>
    <row r="149" spans="1:13">
      <c r="A149" t="s">
        <v>294</v>
      </c>
      <c r="B149" s="1" t="s">
        <v>77</v>
      </c>
      <c r="C149" s="1" t="str">
        <f t="shared" si="2"/>
        <v>Jan-2025</v>
      </c>
      <c r="D149" t="s">
        <v>118</v>
      </c>
      <c r="E149" t="s">
        <v>16</v>
      </c>
      <c r="F149" t="s">
        <v>17</v>
      </c>
      <c r="G149" s="2">
        <v>1</v>
      </c>
      <c r="H149" s="3">
        <v>2500</v>
      </c>
      <c r="I149" s="3">
        <v>2500</v>
      </c>
      <c r="J149" s="3">
        <v>1800</v>
      </c>
      <c r="K149" s="3">
        <v>700</v>
      </c>
      <c r="L149" t="s">
        <v>25</v>
      </c>
      <c r="M149" t="s">
        <v>34</v>
      </c>
    </row>
    <row r="150" spans="1:13">
      <c r="A150" t="s">
        <v>295</v>
      </c>
      <c r="B150" s="1" t="s">
        <v>156</v>
      </c>
      <c r="C150" s="1" t="str">
        <f t="shared" si="2"/>
        <v>Jan-2025</v>
      </c>
      <c r="D150" t="s">
        <v>218</v>
      </c>
      <c r="E150" t="s">
        <v>23</v>
      </c>
      <c r="F150" t="s">
        <v>24</v>
      </c>
      <c r="G150" s="2">
        <v>2</v>
      </c>
      <c r="H150" s="3">
        <v>4000</v>
      </c>
      <c r="I150" s="3">
        <v>8000</v>
      </c>
      <c r="J150" s="3">
        <v>6000</v>
      </c>
      <c r="K150" s="3">
        <v>2000</v>
      </c>
      <c r="L150" t="s">
        <v>18</v>
      </c>
      <c r="M150" t="s">
        <v>34</v>
      </c>
    </row>
    <row r="151" spans="1:13">
      <c r="A151" t="s">
        <v>296</v>
      </c>
      <c r="B151" s="1" t="s">
        <v>80</v>
      </c>
      <c r="C151" s="1" t="str">
        <f t="shared" si="2"/>
        <v>Jan-2025</v>
      </c>
      <c r="D151" t="s">
        <v>297</v>
      </c>
      <c r="E151" t="s">
        <v>16</v>
      </c>
      <c r="F151" t="s">
        <v>17</v>
      </c>
      <c r="G151" s="2">
        <v>2</v>
      </c>
      <c r="H151" s="3">
        <v>2500</v>
      </c>
      <c r="I151" s="3">
        <v>5000</v>
      </c>
      <c r="J151" s="3">
        <v>3600</v>
      </c>
      <c r="K151" s="3">
        <v>1400</v>
      </c>
      <c r="L151" t="s">
        <v>42</v>
      </c>
      <c r="M151" t="s">
        <v>19</v>
      </c>
    </row>
    <row r="152" spans="1:13">
      <c r="A152" t="s">
        <v>298</v>
      </c>
      <c r="B152" s="1" t="s">
        <v>80</v>
      </c>
      <c r="C152" s="1" t="str">
        <f t="shared" si="2"/>
        <v>Jan-2025</v>
      </c>
      <c r="D152" t="s">
        <v>223</v>
      </c>
      <c r="E152" t="s">
        <v>107</v>
      </c>
      <c r="F152" t="s">
        <v>17</v>
      </c>
      <c r="G152" s="2">
        <v>3</v>
      </c>
      <c r="H152" s="3">
        <v>3000</v>
      </c>
      <c r="I152" s="3">
        <v>9000</v>
      </c>
      <c r="J152" s="3">
        <v>6600</v>
      </c>
      <c r="K152" s="3">
        <v>2400</v>
      </c>
      <c r="L152" t="s">
        <v>25</v>
      </c>
      <c r="M152" t="s">
        <v>100</v>
      </c>
    </row>
    <row r="153" spans="1:13">
      <c r="A153" t="s">
        <v>299</v>
      </c>
      <c r="B153" s="1" t="s">
        <v>212</v>
      </c>
      <c r="C153" s="1" t="str">
        <f t="shared" si="2"/>
        <v>Jan-2025</v>
      </c>
      <c r="D153" t="s">
        <v>227</v>
      </c>
      <c r="E153" t="s">
        <v>55</v>
      </c>
      <c r="F153" t="s">
        <v>56</v>
      </c>
      <c r="G153" s="2">
        <v>2</v>
      </c>
      <c r="H153" s="3">
        <v>800</v>
      </c>
      <c r="I153" s="3">
        <v>1600</v>
      </c>
      <c r="J153" s="3">
        <v>800</v>
      </c>
      <c r="K153" s="3">
        <v>800</v>
      </c>
      <c r="L153" t="s">
        <v>18</v>
      </c>
      <c r="M153" t="s">
        <v>100</v>
      </c>
    </row>
    <row r="154" spans="1:13">
      <c r="A154" t="s">
        <v>300</v>
      </c>
      <c r="B154" s="1" t="s">
        <v>140</v>
      </c>
      <c r="C154" s="1" t="str">
        <f t="shared" si="2"/>
        <v>Jan-2025</v>
      </c>
      <c r="D154" t="s">
        <v>301</v>
      </c>
      <c r="E154" t="s">
        <v>29</v>
      </c>
      <c r="F154" t="s">
        <v>17</v>
      </c>
      <c r="G154" s="2">
        <v>2</v>
      </c>
      <c r="H154" s="3">
        <v>1200</v>
      </c>
      <c r="I154" s="3">
        <v>2400</v>
      </c>
      <c r="J154" s="3">
        <v>1600</v>
      </c>
      <c r="K154" s="3">
        <v>800</v>
      </c>
      <c r="L154" t="s">
        <v>18</v>
      </c>
      <c r="M154" t="s">
        <v>100</v>
      </c>
    </row>
    <row r="155" spans="1:13">
      <c r="A155" t="s">
        <v>302</v>
      </c>
      <c r="B155" s="1" t="s">
        <v>102</v>
      </c>
      <c r="C155" s="1" t="str">
        <f t="shared" si="2"/>
        <v>Jan-2025</v>
      </c>
      <c r="D155" t="s">
        <v>303</v>
      </c>
      <c r="E155" t="s">
        <v>16</v>
      </c>
      <c r="F155" t="s">
        <v>17</v>
      </c>
      <c r="G155" s="2">
        <v>1</v>
      </c>
      <c r="H155" s="3">
        <v>2500</v>
      </c>
      <c r="I155" s="3">
        <v>2500</v>
      </c>
      <c r="J155" s="3">
        <v>1800</v>
      </c>
      <c r="K155" s="3">
        <v>700</v>
      </c>
      <c r="L155" t="s">
        <v>42</v>
      </c>
      <c r="M155" t="s">
        <v>100</v>
      </c>
    </row>
    <row r="156" spans="1:13">
      <c r="A156" t="s">
        <v>304</v>
      </c>
      <c r="B156" s="1" t="s">
        <v>74</v>
      </c>
      <c r="C156" s="1" t="str">
        <f t="shared" si="2"/>
        <v>Jan-2025</v>
      </c>
      <c r="D156" t="s">
        <v>276</v>
      </c>
      <c r="E156" t="s">
        <v>16</v>
      </c>
      <c r="F156" t="s">
        <v>17</v>
      </c>
      <c r="G156" s="2">
        <v>1</v>
      </c>
      <c r="H156" s="3">
        <v>2500</v>
      </c>
      <c r="I156" s="3">
        <v>2500</v>
      </c>
      <c r="J156" s="3">
        <v>1800</v>
      </c>
      <c r="K156" s="3">
        <v>700</v>
      </c>
      <c r="L156" t="s">
        <v>42</v>
      </c>
      <c r="M156" t="s">
        <v>30</v>
      </c>
    </row>
    <row r="157" spans="1:13">
      <c r="A157" t="s">
        <v>305</v>
      </c>
      <c r="B157" s="1" t="s">
        <v>115</v>
      </c>
      <c r="C157" s="1" t="str">
        <f t="shared" si="2"/>
        <v>Jan-2025</v>
      </c>
      <c r="D157" t="s">
        <v>306</v>
      </c>
      <c r="E157" t="s">
        <v>41</v>
      </c>
      <c r="F157" t="s">
        <v>24</v>
      </c>
      <c r="G157" s="2">
        <v>4</v>
      </c>
      <c r="H157" s="3">
        <v>1800</v>
      </c>
      <c r="I157" s="3">
        <v>7200</v>
      </c>
      <c r="J157" s="3">
        <v>4800</v>
      </c>
      <c r="K157" s="3">
        <v>2400</v>
      </c>
      <c r="L157" t="s">
        <v>18</v>
      </c>
      <c r="M157" t="s">
        <v>100</v>
      </c>
    </row>
    <row r="158" spans="1:13">
      <c r="A158" t="s">
        <v>307</v>
      </c>
      <c r="B158" s="1" t="s">
        <v>158</v>
      </c>
      <c r="C158" s="1" t="str">
        <f t="shared" si="2"/>
        <v>Jan-2025</v>
      </c>
      <c r="D158" t="s">
        <v>46</v>
      </c>
      <c r="E158" t="s">
        <v>41</v>
      </c>
      <c r="F158" t="s">
        <v>24</v>
      </c>
      <c r="G158" s="2">
        <v>2</v>
      </c>
      <c r="H158" s="3">
        <v>1800</v>
      </c>
      <c r="I158" s="3">
        <v>3600</v>
      </c>
      <c r="J158" s="3">
        <v>2400</v>
      </c>
      <c r="K158" s="3">
        <v>1200</v>
      </c>
      <c r="L158" t="s">
        <v>18</v>
      </c>
      <c r="M158" t="s">
        <v>43</v>
      </c>
    </row>
    <row r="159" spans="1:13">
      <c r="A159" t="s">
        <v>308</v>
      </c>
      <c r="B159" s="1" t="s">
        <v>140</v>
      </c>
      <c r="C159" s="1" t="str">
        <f t="shared" si="2"/>
        <v>Jan-2025</v>
      </c>
      <c r="D159" t="s">
        <v>192</v>
      </c>
      <c r="E159" t="s">
        <v>23</v>
      </c>
      <c r="F159" t="s">
        <v>24</v>
      </c>
      <c r="G159" s="2">
        <v>4</v>
      </c>
      <c r="H159" s="3">
        <v>4000</v>
      </c>
      <c r="I159" s="3">
        <v>16000</v>
      </c>
      <c r="J159" s="3">
        <v>12000</v>
      </c>
      <c r="K159" s="3">
        <v>4000</v>
      </c>
      <c r="L159" t="s">
        <v>25</v>
      </c>
      <c r="M159" t="s">
        <v>43</v>
      </c>
    </row>
    <row r="160" spans="1:13">
      <c r="A160" t="s">
        <v>309</v>
      </c>
      <c r="B160" s="1" t="s">
        <v>95</v>
      </c>
      <c r="C160" s="1" t="str">
        <f t="shared" si="2"/>
        <v>Jan-2025</v>
      </c>
      <c r="D160" t="s">
        <v>86</v>
      </c>
      <c r="E160" t="s">
        <v>16</v>
      </c>
      <c r="F160" t="s">
        <v>17</v>
      </c>
      <c r="G160" s="2">
        <v>3</v>
      </c>
      <c r="H160" s="3">
        <v>2500</v>
      </c>
      <c r="I160" s="3">
        <v>7500</v>
      </c>
      <c r="J160" s="3">
        <v>5400</v>
      </c>
      <c r="K160" s="3">
        <v>2100</v>
      </c>
      <c r="L160" t="s">
        <v>42</v>
      </c>
      <c r="M160" t="s">
        <v>19</v>
      </c>
    </row>
    <row r="161" spans="1:13">
      <c r="A161" t="s">
        <v>310</v>
      </c>
      <c r="B161" s="1" t="s">
        <v>212</v>
      </c>
      <c r="C161" s="1" t="str">
        <f t="shared" si="2"/>
        <v>Jan-2025</v>
      </c>
      <c r="D161" t="s">
        <v>218</v>
      </c>
      <c r="E161" t="s">
        <v>16</v>
      </c>
      <c r="F161" t="s">
        <v>17</v>
      </c>
      <c r="G161" s="2">
        <v>4</v>
      </c>
      <c r="H161" s="3">
        <v>2500</v>
      </c>
      <c r="I161" s="3">
        <v>10000</v>
      </c>
      <c r="J161" s="3">
        <v>7200</v>
      </c>
      <c r="K161" s="3">
        <v>2800</v>
      </c>
      <c r="L161" t="s">
        <v>18</v>
      </c>
      <c r="M161" t="s">
        <v>19</v>
      </c>
    </row>
    <row r="162" spans="1:13">
      <c r="A162" t="s">
        <v>311</v>
      </c>
      <c r="B162" s="1" t="s">
        <v>51</v>
      </c>
      <c r="C162" s="1" t="str">
        <f t="shared" si="2"/>
        <v>Jan-2025</v>
      </c>
      <c r="D162" t="s">
        <v>130</v>
      </c>
      <c r="E162" t="s">
        <v>41</v>
      </c>
      <c r="F162" t="s">
        <v>24</v>
      </c>
      <c r="G162" s="2">
        <v>1</v>
      </c>
      <c r="H162" s="3">
        <v>1800</v>
      </c>
      <c r="I162" s="3">
        <v>1800</v>
      </c>
      <c r="J162" s="3">
        <v>1200</v>
      </c>
      <c r="K162" s="3">
        <v>600</v>
      </c>
      <c r="L162" t="s">
        <v>25</v>
      </c>
      <c r="M162" t="s">
        <v>100</v>
      </c>
    </row>
    <row r="163" spans="1:13">
      <c r="A163" t="s">
        <v>312</v>
      </c>
      <c r="B163" s="1" t="s">
        <v>203</v>
      </c>
      <c r="C163" s="1" t="str">
        <f t="shared" si="2"/>
        <v>Jan-2025</v>
      </c>
      <c r="D163" t="s">
        <v>288</v>
      </c>
      <c r="E163" t="s">
        <v>29</v>
      </c>
      <c r="F163" t="s">
        <v>17</v>
      </c>
      <c r="G163" s="2">
        <v>1</v>
      </c>
      <c r="H163" s="3">
        <v>1200</v>
      </c>
      <c r="I163" s="3">
        <v>1200</v>
      </c>
      <c r="J163" s="3">
        <v>800</v>
      </c>
      <c r="K163" s="3">
        <v>400</v>
      </c>
      <c r="L163" t="s">
        <v>18</v>
      </c>
      <c r="M163" t="s">
        <v>19</v>
      </c>
    </row>
    <row r="164" spans="1:13">
      <c r="A164" t="s">
        <v>313</v>
      </c>
      <c r="B164" s="1" t="s">
        <v>51</v>
      </c>
      <c r="C164" s="1" t="str">
        <f t="shared" si="2"/>
        <v>Jan-2025</v>
      </c>
      <c r="D164" t="s">
        <v>81</v>
      </c>
      <c r="E164" t="s">
        <v>41</v>
      </c>
      <c r="F164" t="s">
        <v>24</v>
      </c>
      <c r="G164" s="2">
        <v>3</v>
      </c>
      <c r="H164" s="3">
        <v>1800</v>
      </c>
      <c r="I164" s="3">
        <v>5400</v>
      </c>
      <c r="J164" s="3">
        <v>3600</v>
      </c>
      <c r="K164" s="3">
        <v>1800</v>
      </c>
      <c r="L164" t="s">
        <v>18</v>
      </c>
      <c r="M164" t="s">
        <v>43</v>
      </c>
    </row>
    <row r="165" spans="1:13">
      <c r="A165" t="s">
        <v>314</v>
      </c>
      <c r="B165" s="1" t="s">
        <v>21</v>
      </c>
      <c r="C165" s="1" t="str">
        <f t="shared" si="2"/>
        <v>Jan-2025</v>
      </c>
      <c r="D165" t="s">
        <v>154</v>
      </c>
      <c r="E165" t="s">
        <v>55</v>
      </c>
      <c r="F165" t="s">
        <v>56</v>
      </c>
      <c r="G165" s="2">
        <v>2</v>
      </c>
      <c r="H165" s="3">
        <v>800</v>
      </c>
      <c r="I165" s="3">
        <v>1600</v>
      </c>
      <c r="J165" s="3">
        <v>800</v>
      </c>
      <c r="K165" s="3">
        <v>800</v>
      </c>
      <c r="L165" t="s">
        <v>25</v>
      </c>
      <c r="M165" t="s">
        <v>100</v>
      </c>
    </row>
    <row r="166" spans="1:13">
      <c r="A166" t="s">
        <v>315</v>
      </c>
      <c r="B166" s="1" t="s">
        <v>39</v>
      </c>
      <c r="C166" s="1" t="str">
        <f t="shared" si="2"/>
        <v>Jan-2025</v>
      </c>
      <c r="D166" t="s">
        <v>67</v>
      </c>
      <c r="E166" t="s">
        <v>23</v>
      </c>
      <c r="F166" t="s">
        <v>24</v>
      </c>
      <c r="G166" s="2">
        <v>2</v>
      </c>
      <c r="H166" s="3">
        <v>4000</v>
      </c>
      <c r="I166" s="3">
        <v>8000</v>
      </c>
      <c r="J166" s="3">
        <v>6000</v>
      </c>
      <c r="K166" s="3">
        <v>2000</v>
      </c>
      <c r="L166" t="s">
        <v>42</v>
      </c>
      <c r="M166" t="s">
        <v>100</v>
      </c>
    </row>
    <row r="167" spans="1:13">
      <c r="A167" t="s">
        <v>316</v>
      </c>
      <c r="B167" s="1" t="s">
        <v>14</v>
      </c>
      <c r="C167" s="1" t="str">
        <f t="shared" si="2"/>
        <v>Jan-2025</v>
      </c>
      <c r="D167" t="s">
        <v>221</v>
      </c>
      <c r="E167" t="s">
        <v>41</v>
      </c>
      <c r="F167" t="s">
        <v>24</v>
      </c>
      <c r="G167" s="2">
        <v>4</v>
      </c>
      <c r="H167" s="3">
        <v>1800</v>
      </c>
      <c r="I167" s="3">
        <v>7200</v>
      </c>
      <c r="J167" s="3">
        <v>4800</v>
      </c>
      <c r="K167" s="3">
        <v>2400</v>
      </c>
      <c r="L167" t="s">
        <v>25</v>
      </c>
      <c r="M167" t="s">
        <v>19</v>
      </c>
    </row>
    <row r="168" spans="1:13">
      <c r="A168" t="s">
        <v>317</v>
      </c>
      <c r="B168" s="1" t="s">
        <v>39</v>
      </c>
      <c r="C168" s="1" t="str">
        <f t="shared" si="2"/>
        <v>Jan-2025</v>
      </c>
      <c r="D168" t="s">
        <v>104</v>
      </c>
      <c r="E168" t="s">
        <v>55</v>
      </c>
      <c r="F168" t="s">
        <v>56</v>
      </c>
      <c r="G168" s="2">
        <v>3</v>
      </c>
      <c r="H168" s="3">
        <v>800</v>
      </c>
      <c r="I168" s="3">
        <v>2400</v>
      </c>
      <c r="J168" s="3">
        <v>1200</v>
      </c>
      <c r="K168" s="3">
        <v>1200</v>
      </c>
      <c r="L168" t="s">
        <v>25</v>
      </c>
      <c r="M168" t="s">
        <v>34</v>
      </c>
    </row>
    <row r="169" spans="1:13">
      <c r="A169" t="s">
        <v>318</v>
      </c>
      <c r="B169" s="1" t="s">
        <v>102</v>
      </c>
      <c r="C169" s="1" t="str">
        <f t="shared" si="2"/>
        <v>Jan-2025</v>
      </c>
      <c r="D169" t="s">
        <v>319</v>
      </c>
      <c r="E169" t="s">
        <v>29</v>
      </c>
      <c r="F169" t="s">
        <v>17</v>
      </c>
      <c r="G169" s="2">
        <v>2</v>
      </c>
      <c r="H169" s="3">
        <v>1200</v>
      </c>
      <c r="I169" s="3">
        <v>2400</v>
      </c>
      <c r="J169" s="3">
        <v>1600</v>
      </c>
      <c r="K169" s="3">
        <v>800</v>
      </c>
      <c r="L169" t="s">
        <v>18</v>
      </c>
      <c r="M169" t="s">
        <v>100</v>
      </c>
    </row>
    <row r="170" spans="1:13">
      <c r="A170" t="s">
        <v>320</v>
      </c>
      <c r="B170" s="1" t="s">
        <v>178</v>
      </c>
      <c r="C170" s="1" t="str">
        <f t="shared" si="2"/>
        <v>Jan-2025</v>
      </c>
      <c r="D170" t="s">
        <v>321</v>
      </c>
      <c r="E170" t="s">
        <v>23</v>
      </c>
      <c r="F170" t="s">
        <v>24</v>
      </c>
      <c r="G170" s="2">
        <v>1</v>
      </c>
      <c r="H170" s="3">
        <v>4000</v>
      </c>
      <c r="I170" s="3">
        <v>4000</v>
      </c>
      <c r="J170" s="3">
        <v>3000</v>
      </c>
      <c r="K170" s="3">
        <v>1000</v>
      </c>
      <c r="L170" t="s">
        <v>18</v>
      </c>
      <c r="M170" t="s">
        <v>30</v>
      </c>
    </row>
    <row r="171" spans="1:13">
      <c r="A171" t="s">
        <v>322</v>
      </c>
      <c r="B171" s="1" t="s">
        <v>85</v>
      </c>
      <c r="C171" s="1" t="str">
        <f t="shared" si="2"/>
        <v>Jan-2025</v>
      </c>
      <c r="D171" t="s">
        <v>136</v>
      </c>
      <c r="E171" t="s">
        <v>16</v>
      </c>
      <c r="F171" t="s">
        <v>17</v>
      </c>
      <c r="G171" s="2">
        <v>3</v>
      </c>
      <c r="H171" s="3">
        <v>2500</v>
      </c>
      <c r="I171" s="3">
        <v>7500</v>
      </c>
      <c r="J171" s="3">
        <v>5400</v>
      </c>
      <c r="K171" s="3">
        <v>2100</v>
      </c>
      <c r="L171" t="s">
        <v>25</v>
      </c>
      <c r="M171" t="s">
        <v>30</v>
      </c>
    </row>
    <row r="172" spans="1:13">
      <c r="A172" t="s">
        <v>323</v>
      </c>
      <c r="B172" s="1" t="s">
        <v>115</v>
      </c>
      <c r="C172" s="1" t="str">
        <f t="shared" si="2"/>
        <v>Jan-2025</v>
      </c>
      <c r="D172" t="s">
        <v>54</v>
      </c>
      <c r="E172" t="s">
        <v>23</v>
      </c>
      <c r="F172" t="s">
        <v>24</v>
      </c>
      <c r="G172" s="2">
        <v>4</v>
      </c>
      <c r="H172" s="3">
        <v>4000</v>
      </c>
      <c r="I172" s="3">
        <v>16000</v>
      </c>
      <c r="J172" s="3">
        <v>12000</v>
      </c>
      <c r="K172" s="3">
        <v>4000</v>
      </c>
      <c r="L172" t="s">
        <v>18</v>
      </c>
      <c r="M172" t="s">
        <v>57</v>
      </c>
    </row>
    <row r="173" spans="1:13">
      <c r="A173" t="s">
        <v>324</v>
      </c>
      <c r="B173" s="1" t="s">
        <v>125</v>
      </c>
      <c r="C173" s="1" t="str">
        <f t="shared" si="2"/>
        <v>Jan-2025</v>
      </c>
      <c r="D173" t="s">
        <v>89</v>
      </c>
      <c r="E173" t="s">
        <v>55</v>
      </c>
      <c r="F173" t="s">
        <v>56</v>
      </c>
      <c r="G173" s="2">
        <v>2</v>
      </c>
      <c r="H173" s="3">
        <v>800</v>
      </c>
      <c r="I173" s="3">
        <v>1600</v>
      </c>
      <c r="J173" s="3">
        <v>800</v>
      </c>
      <c r="K173" s="3">
        <v>800</v>
      </c>
      <c r="L173" t="s">
        <v>42</v>
      </c>
      <c r="M173" t="s">
        <v>34</v>
      </c>
    </row>
    <row r="174" spans="1:13">
      <c r="A174" t="s">
        <v>325</v>
      </c>
      <c r="B174" s="1" t="s">
        <v>27</v>
      </c>
      <c r="C174" s="1" t="str">
        <f t="shared" si="2"/>
        <v>Jan-2025</v>
      </c>
      <c r="D174" t="s">
        <v>28</v>
      </c>
      <c r="E174" t="s">
        <v>16</v>
      </c>
      <c r="F174" t="s">
        <v>17</v>
      </c>
      <c r="G174" s="2">
        <v>3</v>
      </c>
      <c r="H174" s="3">
        <v>2500</v>
      </c>
      <c r="I174" s="3">
        <v>7500</v>
      </c>
      <c r="J174" s="3">
        <v>5400</v>
      </c>
      <c r="K174" s="3">
        <v>2100</v>
      </c>
      <c r="L174" t="s">
        <v>42</v>
      </c>
      <c r="M174" t="s">
        <v>34</v>
      </c>
    </row>
    <row r="175" spans="1:13">
      <c r="A175" t="s">
        <v>326</v>
      </c>
      <c r="B175" s="1" t="s">
        <v>39</v>
      </c>
      <c r="C175" s="1" t="str">
        <f t="shared" si="2"/>
        <v>Jan-2025</v>
      </c>
      <c r="D175" t="s">
        <v>189</v>
      </c>
      <c r="E175" t="s">
        <v>55</v>
      </c>
      <c r="F175" t="s">
        <v>56</v>
      </c>
      <c r="G175" s="2">
        <v>1</v>
      </c>
      <c r="H175" s="3">
        <v>800</v>
      </c>
      <c r="I175" s="3">
        <v>800</v>
      </c>
      <c r="J175" s="3">
        <v>400</v>
      </c>
      <c r="K175" s="3">
        <v>400</v>
      </c>
      <c r="L175" t="s">
        <v>42</v>
      </c>
      <c r="M175" t="s">
        <v>19</v>
      </c>
    </row>
    <row r="176" spans="1:13">
      <c r="A176" t="s">
        <v>327</v>
      </c>
      <c r="B176" s="1" t="s">
        <v>212</v>
      </c>
      <c r="C176" s="1" t="str">
        <f t="shared" si="2"/>
        <v>Jan-2025</v>
      </c>
      <c r="D176" t="s">
        <v>151</v>
      </c>
      <c r="E176" t="s">
        <v>41</v>
      </c>
      <c r="F176" t="s">
        <v>24</v>
      </c>
      <c r="G176" s="2">
        <v>2</v>
      </c>
      <c r="H176" s="3">
        <v>1800</v>
      </c>
      <c r="I176" s="3">
        <v>3600</v>
      </c>
      <c r="J176" s="3">
        <v>2400</v>
      </c>
      <c r="K176" s="3">
        <v>1200</v>
      </c>
      <c r="L176" t="s">
        <v>42</v>
      </c>
      <c r="M176" t="s">
        <v>19</v>
      </c>
    </row>
    <row r="177" spans="1:13">
      <c r="A177" t="s">
        <v>328</v>
      </c>
      <c r="B177" s="1" t="s">
        <v>212</v>
      </c>
      <c r="C177" s="1" t="str">
        <f t="shared" si="2"/>
        <v>Jan-2025</v>
      </c>
      <c r="D177" t="s">
        <v>329</v>
      </c>
      <c r="E177" t="s">
        <v>55</v>
      </c>
      <c r="F177" t="s">
        <v>56</v>
      </c>
      <c r="G177" s="2">
        <v>1</v>
      </c>
      <c r="H177" s="3">
        <v>800</v>
      </c>
      <c r="I177" s="3">
        <v>800</v>
      </c>
      <c r="J177" s="3">
        <v>400</v>
      </c>
      <c r="K177" s="3">
        <v>400</v>
      </c>
      <c r="L177" t="s">
        <v>42</v>
      </c>
      <c r="M177" t="s">
        <v>34</v>
      </c>
    </row>
    <row r="178" spans="1:13">
      <c r="A178" t="s">
        <v>330</v>
      </c>
      <c r="B178" s="1" t="s">
        <v>14</v>
      </c>
      <c r="C178" s="1" t="str">
        <f t="shared" si="2"/>
        <v>Jan-2025</v>
      </c>
      <c r="D178" t="s">
        <v>331</v>
      </c>
      <c r="E178" t="s">
        <v>55</v>
      </c>
      <c r="F178" t="s">
        <v>56</v>
      </c>
      <c r="G178" s="2">
        <v>1</v>
      </c>
      <c r="H178" s="3">
        <v>800</v>
      </c>
      <c r="I178" s="3">
        <v>800</v>
      </c>
      <c r="J178" s="3">
        <v>400</v>
      </c>
      <c r="K178" s="3">
        <v>400</v>
      </c>
      <c r="L178" t="s">
        <v>25</v>
      </c>
      <c r="M178" t="s">
        <v>43</v>
      </c>
    </row>
    <row r="179" spans="1:13">
      <c r="A179" t="s">
        <v>332</v>
      </c>
      <c r="B179" s="1" t="s">
        <v>203</v>
      </c>
      <c r="C179" s="1" t="str">
        <f t="shared" si="2"/>
        <v>Jan-2025</v>
      </c>
      <c r="D179" t="s">
        <v>333</v>
      </c>
      <c r="E179" t="s">
        <v>29</v>
      </c>
      <c r="F179" t="s">
        <v>17</v>
      </c>
      <c r="G179" s="2">
        <v>2</v>
      </c>
      <c r="H179" s="3">
        <v>1200</v>
      </c>
      <c r="I179" s="3">
        <v>2400</v>
      </c>
      <c r="J179" s="3">
        <v>1600</v>
      </c>
      <c r="K179" s="3">
        <v>800</v>
      </c>
      <c r="L179" t="s">
        <v>25</v>
      </c>
      <c r="M179" t="s">
        <v>100</v>
      </c>
    </row>
    <row r="180" spans="1:13">
      <c r="A180" t="s">
        <v>334</v>
      </c>
      <c r="B180" s="1" t="s">
        <v>51</v>
      </c>
      <c r="C180" s="1" t="str">
        <f t="shared" si="2"/>
        <v>Jan-2025</v>
      </c>
      <c r="D180" t="s">
        <v>136</v>
      </c>
      <c r="E180" t="s">
        <v>55</v>
      </c>
      <c r="F180" t="s">
        <v>56</v>
      </c>
      <c r="G180" s="2">
        <v>1</v>
      </c>
      <c r="H180" s="3">
        <v>800</v>
      </c>
      <c r="I180" s="3">
        <v>800</v>
      </c>
      <c r="J180" s="3">
        <v>400</v>
      </c>
      <c r="K180" s="3">
        <v>400</v>
      </c>
      <c r="L180" t="s">
        <v>42</v>
      </c>
      <c r="M180" t="s">
        <v>19</v>
      </c>
    </row>
    <row r="181" spans="1:13">
      <c r="A181" t="s">
        <v>335</v>
      </c>
      <c r="B181" s="1" t="s">
        <v>158</v>
      </c>
      <c r="C181" s="1" t="str">
        <f t="shared" si="2"/>
        <v>Jan-2025</v>
      </c>
      <c r="D181" t="s">
        <v>185</v>
      </c>
      <c r="E181" t="s">
        <v>41</v>
      </c>
      <c r="F181" t="s">
        <v>24</v>
      </c>
      <c r="G181" s="2">
        <v>3</v>
      </c>
      <c r="H181" s="3">
        <v>1800</v>
      </c>
      <c r="I181" s="3">
        <v>5400</v>
      </c>
      <c r="J181" s="3">
        <v>3600</v>
      </c>
      <c r="K181" s="3">
        <v>1800</v>
      </c>
      <c r="L181" t="s">
        <v>25</v>
      </c>
      <c r="M181" t="s">
        <v>43</v>
      </c>
    </row>
    <row r="182" spans="1:13">
      <c r="A182" t="s">
        <v>336</v>
      </c>
      <c r="B182" s="1" t="s">
        <v>95</v>
      </c>
      <c r="C182" s="1" t="str">
        <f t="shared" si="2"/>
        <v>Jan-2025</v>
      </c>
      <c r="D182" t="s">
        <v>67</v>
      </c>
      <c r="E182" t="s">
        <v>41</v>
      </c>
      <c r="F182" t="s">
        <v>24</v>
      </c>
      <c r="G182" s="2">
        <v>1</v>
      </c>
      <c r="H182" s="3">
        <v>1800</v>
      </c>
      <c r="I182" s="3">
        <v>1800</v>
      </c>
      <c r="J182" s="3">
        <v>1200</v>
      </c>
      <c r="K182" s="3">
        <v>600</v>
      </c>
      <c r="L182" t="s">
        <v>25</v>
      </c>
      <c r="M182" t="s">
        <v>19</v>
      </c>
    </row>
    <row r="183" spans="1:13">
      <c r="A183" t="s">
        <v>337</v>
      </c>
      <c r="B183" s="1" t="s">
        <v>36</v>
      </c>
      <c r="C183" s="1" t="str">
        <f t="shared" si="2"/>
        <v>Jan-2025</v>
      </c>
      <c r="D183" t="s">
        <v>338</v>
      </c>
      <c r="E183" t="s">
        <v>55</v>
      </c>
      <c r="F183" t="s">
        <v>56</v>
      </c>
      <c r="G183" s="2">
        <v>4</v>
      </c>
      <c r="H183" s="3">
        <v>800</v>
      </c>
      <c r="I183" s="3">
        <v>3200</v>
      </c>
      <c r="J183" s="3">
        <v>1600</v>
      </c>
      <c r="K183" s="3">
        <v>1600</v>
      </c>
      <c r="L183" t="s">
        <v>42</v>
      </c>
      <c r="M183" t="s">
        <v>57</v>
      </c>
    </row>
    <row r="184" spans="1:13">
      <c r="A184" t="s">
        <v>339</v>
      </c>
      <c r="B184" s="1" t="s">
        <v>21</v>
      </c>
      <c r="C184" s="1" t="str">
        <f t="shared" si="2"/>
        <v>Jan-2025</v>
      </c>
      <c r="D184" t="s">
        <v>301</v>
      </c>
      <c r="E184" t="s">
        <v>29</v>
      </c>
      <c r="F184" t="s">
        <v>17</v>
      </c>
      <c r="G184" s="2">
        <v>3</v>
      </c>
      <c r="H184" s="3">
        <v>1200</v>
      </c>
      <c r="I184" s="3">
        <v>3600</v>
      </c>
      <c r="J184" s="3">
        <v>2400</v>
      </c>
      <c r="K184" s="3">
        <v>1200</v>
      </c>
      <c r="L184" t="s">
        <v>25</v>
      </c>
      <c r="M184" t="s">
        <v>57</v>
      </c>
    </row>
    <row r="185" spans="1:13">
      <c r="A185" t="s">
        <v>340</v>
      </c>
      <c r="B185" s="1" t="s">
        <v>102</v>
      </c>
      <c r="C185" s="1" t="str">
        <f t="shared" si="2"/>
        <v>Jan-2025</v>
      </c>
      <c r="D185" t="s">
        <v>118</v>
      </c>
      <c r="E185" t="s">
        <v>29</v>
      </c>
      <c r="F185" t="s">
        <v>17</v>
      </c>
      <c r="G185" s="2">
        <v>4</v>
      </c>
      <c r="H185" s="3">
        <v>1200</v>
      </c>
      <c r="I185" s="3">
        <v>4800</v>
      </c>
      <c r="J185" s="3">
        <v>3200</v>
      </c>
      <c r="K185" s="3">
        <v>1600</v>
      </c>
      <c r="L185" t="s">
        <v>18</v>
      </c>
      <c r="M185" t="s">
        <v>57</v>
      </c>
    </row>
    <row r="186" spans="1:13">
      <c r="A186" t="s">
        <v>341</v>
      </c>
      <c r="B186" s="1" t="s">
        <v>14</v>
      </c>
      <c r="C186" s="1" t="str">
        <f t="shared" si="2"/>
        <v>Jan-2025</v>
      </c>
      <c r="D186" t="s">
        <v>196</v>
      </c>
      <c r="E186" t="s">
        <v>55</v>
      </c>
      <c r="F186" t="s">
        <v>56</v>
      </c>
      <c r="G186" s="2">
        <v>2</v>
      </c>
      <c r="H186" s="3">
        <v>800</v>
      </c>
      <c r="I186" s="3">
        <v>1600</v>
      </c>
      <c r="J186" s="3">
        <v>800</v>
      </c>
      <c r="K186" s="3">
        <v>800</v>
      </c>
      <c r="L186" t="s">
        <v>18</v>
      </c>
      <c r="M186" t="s">
        <v>100</v>
      </c>
    </row>
    <row r="187" spans="1:13">
      <c r="A187" t="s">
        <v>342</v>
      </c>
      <c r="B187" s="1" t="s">
        <v>158</v>
      </c>
      <c r="C187" s="1" t="str">
        <f t="shared" si="2"/>
        <v>Jan-2025</v>
      </c>
      <c r="D187" t="s">
        <v>333</v>
      </c>
      <c r="E187" t="s">
        <v>55</v>
      </c>
      <c r="F187" t="s">
        <v>56</v>
      </c>
      <c r="G187" s="2">
        <v>3</v>
      </c>
      <c r="H187" s="3">
        <v>800</v>
      </c>
      <c r="I187" s="3">
        <v>2400</v>
      </c>
      <c r="J187" s="3">
        <v>1200</v>
      </c>
      <c r="K187" s="3">
        <v>1200</v>
      </c>
      <c r="L187" t="s">
        <v>25</v>
      </c>
      <c r="M187" t="s">
        <v>34</v>
      </c>
    </row>
    <row r="188" spans="1:13">
      <c r="A188" t="s">
        <v>343</v>
      </c>
      <c r="B188" s="1" t="s">
        <v>115</v>
      </c>
      <c r="C188" s="1" t="str">
        <f t="shared" si="2"/>
        <v>Jan-2025</v>
      </c>
      <c r="D188" t="s">
        <v>181</v>
      </c>
      <c r="E188" t="s">
        <v>41</v>
      </c>
      <c r="F188" t="s">
        <v>24</v>
      </c>
      <c r="G188" s="2">
        <v>2</v>
      </c>
      <c r="H188" s="3">
        <v>1800</v>
      </c>
      <c r="I188" s="3">
        <v>3600</v>
      </c>
      <c r="J188" s="3">
        <v>2400</v>
      </c>
      <c r="K188" s="3">
        <v>1200</v>
      </c>
      <c r="L188" t="s">
        <v>18</v>
      </c>
      <c r="M188" t="s">
        <v>34</v>
      </c>
    </row>
    <row r="189" spans="1:13">
      <c r="A189" t="s">
        <v>344</v>
      </c>
      <c r="B189" s="1" t="s">
        <v>158</v>
      </c>
      <c r="C189" s="1" t="str">
        <f t="shared" si="2"/>
        <v>Jan-2025</v>
      </c>
      <c r="D189" t="s">
        <v>221</v>
      </c>
      <c r="E189" t="s">
        <v>23</v>
      </c>
      <c r="F189" t="s">
        <v>24</v>
      </c>
      <c r="G189" s="2">
        <v>4</v>
      </c>
      <c r="H189" s="3">
        <v>4000</v>
      </c>
      <c r="I189" s="3">
        <v>16000</v>
      </c>
      <c r="J189" s="3">
        <v>12000</v>
      </c>
      <c r="K189" s="3">
        <v>4000</v>
      </c>
      <c r="L189" t="s">
        <v>42</v>
      </c>
      <c r="M189" t="s">
        <v>19</v>
      </c>
    </row>
    <row r="190" spans="1:13">
      <c r="A190" t="s">
        <v>345</v>
      </c>
      <c r="B190" s="1" t="s">
        <v>39</v>
      </c>
      <c r="C190" s="1" t="str">
        <f t="shared" si="2"/>
        <v>Jan-2025</v>
      </c>
      <c r="D190" t="s">
        <v>123</v>
      </c>
      <c r="E190" t="s">
        <v>41</v>
      </c>
      <c r="F190" t="s">
        <v>24</v>
      </c>
      <c r="G190" s="2">
        <v>1</v>
      </c>
      <c r="H190" s="3">
        <v>1800</v>
      </c>
      <c r="I190" s="3">
        <v>1800</v>
      </c>
      <c r="J190" s="3">
        <v>1200</v>
      </c>
      <c r="K190" s="3">
        <v>600</v>
      </c>
      <c r="L190" t="s">
        <v>18</v>
      </c>
      <c r="M190" t="s">
        <v>30</v>
      </c>
    </row>
    <row r="191" spans="1:13">
      <c r="A191" t="s">
        <v>346</v>
      </c>
      <c r="B191" s="1" t="s">
        <v>48</v>
      </c>
      <c r="C191" s="1" t="str">
        <f t="shared" si="2"/>
        <v>Jan-2025</v>
      </c>
      <c r="D191" t="s">
        <v>194</v>
      </c>
      <c r="E191" t="s">
        <v>16</v>
      </c>
      <c r="F191" t="s">
        <v>17</v>
      </c>
      <c r="G191" s="2">
        <v>2</v>
      </c>
      <c r="H191" s="3">
        <v>2500</v>
      </c>
      <c r="I191" s="3">
        <v>5000</v>
      </c>
      <c r="J191" s="3">
        <v>3600</v>
      </c>
      <c r="K191" s="3">
        <v>1400</v>
      </c>
      <c r="L191" t="s">
        <v>42</v>
      </c>
      <c r="M191" t="s">
        <v>57</v>
      </c>
    </row>
    <row r="192" spans="1:13">
      <c r="A192" t="s">
        <v>347</v>
      </c>
      <c r="B192" s="1" t="s">
        <v>48</v>
      </c>
      <c r="C192" s="1" t="str">
        <f t="shared" si="2"/>
        <v>Jan-2025</v>
      </c>
      <c r="D192" t="s">
        <v>221</v>
      </c>
      <c r="E192" t="s">
        <v>29</v>
      </c>
      <c r="F192" t="s">
        <v>17</v>
      </c>
      <c r="G192" s="2">
        <v>4</v>
      </c>
      <c r="H192" s="3">
        <v>1200</v>
      </c>
      <c r="I192" s="3">
        <v>4800</v>
      </c>
      <c r="J192" s="3">
        <v>3200</v>
      </c>
      <c r="K192" s="3">
        <v>1600</v>
      </c>
      <c r="L192" t="s">
        <v>42</v>
      </c>
      <c r="M192" t="s">
        <v>100</v>
      </c>
    </row>
    <row r="193" spans="1:13">
      <c r="A193" t="s">
        <v>348</v>
      </c>
      <c r="B193" s="1" t="s">
        <v>120</v>
      </c>
      <c r="C193" s="1" t="str">
        <f t="shared" si="2"/>
        <v>Jan-2025</v>
      </c>
      <c r="D193" t="s">
        <v>33</v>
      </c>
      <c r="E193" t="s">
        <v>29</v>
      </c>
      <c r="F193" t="s">
        <v>17</v>
      </c>
      <c r="G193" s="2">
        <v>3</v>
      </c>
      <c r="H193" s="3">
        <v>1200</v>
      </c>
      <c r="I193" s="3">
        <v>3600</v>
      </c>
      <c r="J193" s="3">
        <v>2400</v>
      </c>
      <c r="K193" s="3">
        <v>1200</v>
      </c>
      <c r="L193" t="s">
        <v>42</v>
      </c>
      <c r="M193" t="s">
        <v>34</v>
      </c>
    </row>
    <row r="194" spans="1:13">
      <c r="A194" t="s">
        <v>349</v>
      </c>
      <c r="B194" s="1" t="s">
        <v>61</v>
      </c>
      <c r="C194" s="1" t="str">
        <f t="shared" si="2"/>
        <v>Jan-2025</v>
      </c>
      <c r="D194" t="s">
        <v>185</v>
      </c>
      <c r="E194" t="s">
        <v>107</v>
      </c>
      <c r="F194" t="s">
        <v>17</v>
      </c>
      <c r="G194" s="2">
        <v>4</v>
      </c>
      <c r="H194" s="3">
        <v>3000</v>
      </c>
      <c r="I194" s="3">
        <v>12000</v>
      </c>
      <c r="J194" s="3">
        <v>8800</v>
      </c>
      <c r="K194" s="3">
        <v>3200</v>
      </c>
      <c r="L194" t="s">
        <v>18</v>
      </c>
      <c r="M194" t="s">
        <v>57</v>
      </c>
    </row>
    <row r="195" spans="1:13">
      <c r="A195" t="s">
        <v>350</v>
      </c>
      <c r="B195" s="1" t="s">
        <v>45</v>
      </c>
      <c r="C195" s="1" t="str">
        <f t="shared" ref="C195:C201" si="3">TEXT(B195,"MMM-YYYY")</f>
        <v>Jan-2025</v>
      </c>
      <c r="D195" t="s">
        <v>15</v>
      </c>
      <c r="E195" t="s">
        <v>107</v>
      </c>
      <c r="F195" t="s">
        <v>17</v>
      </c>
      <c r="G195" s="2">
        <v>1</v>
      </c>
      <c r="H195" s="3">
        <v>3000</v>
      </c>
      <c r="I195" s="3">
        <v>3000</v>
      </c>
      <c r="J195" s="3">
        <v>2200</v>
      </c>
      <c r="K195" s="3">
        <v>800</v>
      </c>
      <c r="L195" t="s">
        <v>25</v>
      </c>
      <c r="M195" t="s">
        <v>57</v>
      </c>
    </row>
    <row r="196" spans="1:13">
      <c r="A196" t="s">
        <v>351</v>
      </c>
      <c r="B196" s="1" t="s">
        <v>21</v>
      </c>
      <c r="C196" s="1" t="str">
        <f t="shared" si="3"/>
        <v>Jan-2025</v>
      </c>
      <c r="D196" t="s">
        <v>301</v>
      </c>
      <c r="E196" t="s">
        <v>55</v>
      </c>
      <c r="F196" t="s">
        <v>56</v>
      </c>
      <c r="G196" s="2">
        <v>3</v>
      </c>
      <c r="H196" s="3">
        <v>800</v>
      </c>
      <c r="I196" s="3">
        <v>2400</v>
      </c>
      <c r="J196" s="3">
        <v>1200</v>
      </c>
      <c r="K196" s="3">
        <v>1200</v>
      </c>
      <c r="L196" t="s">
        <v>42</v>
      </c>
      <c r="M196" t="s">
        <v>100</v>
      </c>
    </row>
    <row r="197" spans="1:13">
      <c r="A197" t="s">
        <v>352</v>
      </c>
      <c r="B197" s="1" t="s">
        <v>74</v>
      </c>
      <c r="C197" s="1" t="str">
        <f t="shared" si="3"/>
        <v>Jan-2025</v>
      </c>
      <c r="D197" t="s">
        <v>353</v>
      </c>
      <c r="E197" t="s">
        <v>23</v>
      </c>
      <c r="F197" t="s">
        <v>24</v>
      </c>
      <c r="G197" s="2">
        <v>3</v>
      </c>
      <c r="H197" s="3">
        <v>4000</v>
      </c>
      <c r="I197" s="3">
        <v>12000</v>
      </c>
      <c r="J197" s="3">
        <v>9000</v>
      </c>
      <c r="K197" s="3">
        <v>3000</v>
      </c>
      <c r="L197" t="s">
        <v>18</v>
      </c>
      <c r="M197" t="s">
        <v>30</v>
      </c>
    </row>
    <row r="198" spans="1:13">
      <c r="A198" t="s">
        <v>354</v>
      </c>
      <c r="B198" s="1" t="s">
        <v>51</v>
      </c>
      <c r="C198" s="1" t="str">
        <f t="shared" si="3"/>
        <v>Jan-2025</v>
      </c>
      <c r="D198" t="s">
        <v>99</v>
      </c>
      <c r="E198" t="s">
        <v>23</v>
      </c>
      <c r="F198" t="s">
        <v>24</v>
      </c>
      <c r="G198" s="2">
        <v>1</v>
      </c>
      <c r="H198" s="3">
        <v>4000</v>
      </c>
      <c r="I198" s="3">
        <v>4000</v>
      </c>
      <c r="J198" s="3">
        <v>3000</v>
      </c>
      <c r="K198" s="3">
        <v>1000</v>
      </c>
      <c r="L198" t="s">
        <v>25</v>
      </c>
      <c r="M198" t="s">
        <v>43</v>
      </c>
    </row>
    <row r="199" spans="1:13">
      <c r="A199" t="s">
        <v>355</v>
      </c>
      <c r="B199" s="1" t="s">
        <v>64</v>
      </c>
      <c r="C199" s="1" t="str">
        <f t="shared" si="3"/>
        <v>Jan-2025</v>
      </c>
      <c r="D199" t="s">
        <v>65</v>
      </c>
      <c r="E199" t="s">
        <v>29</v>
      </c>
      <c r="F199" t="s">
        <v>17</v>
      </c>
      <c r="G199" s="2">
        <v>4</v>
      </c>
      <c r="H199" s="3">
        <v>1200</v>
      </c>
      <c r="I199" s="3">
        <v>4800</v>
      </c>
      <c r="J199" s="3">
        <v>3200</v>
      </c>
      <c r="K199" s="3">
        <v>1600</v>
      </c>
      <c r="L199" t="s">
        <v>18</v>
      </c>
      <c r="M199" t="s">
        <v>43</v>
      </c>
    </row>
    <row r="200" spans="1:13">
      <c r="A200" t="s">
        <v>356</v>
      </c>
      <c r="B200" s="1" t="s">
        <v>48</v>
      </c>
      <c r="C200" s="1" t="str">
        <f t="shared" si="3"/>
        <v>Jan-2025</v>
      </c>
      <c r="D200" t="s">
        <v>33</v>
      </c>
      <c r="E200" t="s">
        <v>55</v>
      </c>
      <c r="F200" t="s">
        <v>56</v>
      </c>
      <c r="G200" s="2">
        <v>3</v>
      </c>
      <c r="H200" s="3">
        <v>800</v>
      </c>
      <c r="I200" s="3">
        <v>2400</v>
      </c>
      <c r="J200" s="3">
        <v>1200</v>
      </c>
      <c r="K200" s="3">
        <v>1200</v>
      </c>
      <c r="L200" t="s">
        <v>42</v>
      </c>
      <c r="M200" t="s">
        <v>57</v>
      </c>
    </row>
    <row r="201" spans="1:13">
      <c r="A201" t="s">
        <v>357</v>
      </c>
      <c r="B201" s="1" t="s">
        <v>95</v>
      </c>
      <c r="C201" s="1" t="str">
        <f t="shared" si="3"/>
        <v>Jan-2025</v>
      </c>
      <c r="D201" t="s">
        <v>96</v>
      </c>
      <c r="E201" t="s">
        <v>23</v>
      </c>
      <c r="F201" t="s">
        <v>24</v>
      </c>
      <c r="G201" s="2">
        <v>3</v>
      </c>
      <c r="H201" s="3">
        <v>4000</v>
      </c>
      <c r="I201" s="3">
        <v>12000</v>
      </c>
      <c r="J201" s="3">
        <v>9000</v>
      </c>
      <c r="K201" s="3">
        <v>3000</v>
      </c>
      <c r="L201" t="s">
        <v>18</v>
      </c>
      <c r="M20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F955-EC30-4F9F-96A8-B5D96E19071D}">
  <dimension ref="B5:Q8"/>
  <sheetViews>
    <sheetView zoomScale="80" zoomScaleNormal="80" workbookViewId="0">
      <selection activeCell="V7" sqref="V7"/>
    </sheetView>
  </sheetViews>
  <sheetFormatPr defaultRowHeight="15"/>
  <cols>
    <col min="1" max="3" width="9.140625" style="22"/>
    <col min="4" max="4" width="16.85546875" style="22" bestFit="1" customWidth="1"/>
    <col min="5" max="5" width="9.140625" style="22"/>
    <col min="6" max="6" width="15" style="22" bestFit="1" customWidth="1"/>
    <col min="7" max="16" width="9.140625" style="22"/>
    <col min="17" max="17" width="11.28515625" style="22" bestFit="1" customWidth="1"/>
    <col min="18" max="16384" width="9.140625" style="22"/>
  </cols>
  <sheetData>
    <row r="5" spans="2:17">
      <c r="B5" s="44">
        <f>'Sales Analysis'!A4</f>
        <v>200</v>
      </c>
      <c r="Q5" s="43">
        <f>GETPIVOTDATA("Total Sales",'Sales Analysis'!$A$3)/GETPIVOTDATA("Total Order",'Sales Analysis'!$A$3)</f>
        <v>5487</v>
      </c>
    </row>
    <row r="6" spans="2:17">
      <c r="F6" s="43">
        <f>GETPIVOTDATA("Total Sales",'Sales Analysis'!$A$3)</f>
        <v>1097400</v>
      </c>
      <c r="K6" s="45">
        <f>GETPIVOTDATA("Order ID",'Sales Analysis'!$A$8,"Delivery Status","Delivered")</f>
        <v>177</v>
      </c>
      <c r="O6" s="45">
        <f>GETPIVOTDATA("Order ID",'Sales Analysis'!$A$8,"Delivery Status","Pending")</f>
        <v>23</v>
      </c>
    </row>
    <row r="8" spans="2:17">
      <c r="O8"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C181-A3EA-4738-A589-7A4919A9FF6B}">
  <dimension ref="A1:F30"/>
  <sheetViews>
    <sheetView workbookViewId="0">
      <selection activeCell="A16" sqref="A16"/>
    </sheetView>
  </sheetViews>
  <sheetFormatPr defaultRowHeight="15"/>
  <cols>
    <col min="1" max="1" width="13.140625" bestFit="1" customWidth="1"/>
    <col min="2" max="2" width="15.5703125" bestFit="1" customWidth="1"/>
    <col min="3" max="3" width="16.5703125" bestFit="1" customWidth="1"/>
    <col min="4" max="4" width="14" bestFit="1" customWidth="1"/>
    <col min="5" max="5" width="15.28515625" bestFit="1" customWidth="1"/>
    <col min="6" max="6" width="16.5703125" bestFit="1" customWidth="1"/>
    <col min="7" max="7" width="15.28515625" bestFit="1" customWidth="1"/>
    <col min="8" max="8" width="15.42578125" bestFit="1" customWidth="1"/>
    <col min="9" max="9" width="18.42578125" customWidth="1"/>
    <col min="10" max="10" width="15.28515625" bestFit="1" customWidth="1"/>
    <col min="11" max="11" width="17.42578125" bestFit="1" customWidth="1"/>
    <col min="12" max="12" width="16.5703125" bestFit="1" customWidth="1"/>
    <col min="13" max="13" width="15.28515625" bestFit="1" customWidth="1"/>
    <col min="14" max="14" width="15.42578125" bestFit="1" customWidth="1"/>
    <col min="15" max="15" width="12.5703125" bestFit="1" customWidth="1"/>
    <col min="16" max="16" width="15.28515625" bestFit="1" customWidth="1"/>
    <col min="17" max="17" width="15.42578125" bestFit="1" customWidth="1"/>
    <col min="18" max="18" width="12.5703125" bestFit="1" customWidth="1"/>
    <col min="19" max="19" width="15.28515625" bestFit="1" customWidth="1"/>
    <col min="20" max="20" width="15.42578125" bestFit="1" customWidth="1"/>
    <col min="21" max="21" width="12.5703125" bestFit="1" customWidth="1"/>
    <col min="22" max="22" width="15.28515625" bestFit="1" customWidth="1"/>
    <col min="23" max="23" width="20.42578125" bestFit="1" customWidth="1"/>
    <col min="24" max="24" width="17.5703125" bestFit="1" customWidth="1"/>
    <col min="25" max="25" width="20.28515625" bestFit="1" customWidth="1"/>
    <col min="26" max="26" width="15.42578125" bestFit="1" customWidth="1"/>
    <col min="27" max="27" width="12.28515625" bestFit="1" customWidth="1"/>
    <col min="28" max="28" width="15.42578125" bestFit="1" customWidth="1"/>
    <col min="29" max="29" width="12.28515625" bestFit="1" customWidth="1"/>
    <col min="30" max="30" width="15.42578125" bestFit="1" customWidth="1"/>
    <col min="31" max="31" width="12.28515625" bestFit="1" customWidth="1"/>
    <col min="32" max="32" width="15.42578125" bestFit="1" customWidth="1"/>
    <col min="33" max="33" width="12.28515625" bestFit="1" customWidth="1"/>
    <col min="34" max="34" width="15.42578125" bestFit="1" customWidth="1"/>
    <col min="35" max="35" width="12.28515625" bestFit="1" customWidth="1"/>
    <col min="36" max="36" width="15.42578125" bestFit="1" customWidth="1"/>
    <col min="37" max="37" width="12.28515625" bestFit="1" customWidth="1"/>
    <col min="38" max="38" width="15.42578125" bestFit="1" customWidth="1"/>
    <col min="39" max="39" width="12.28515625" bestFit="1" customWidth="1"/>
    <col min="40" max="40" width="15.42578125" bestFit="1" customWidth="1"/>
    <col min="41" max="41" width="12.28515625" bestFit="1" customWidth="1"/>
    <col min="42" max="42" width="15.42578125" bestFit="1" customWidth="1"/>
    <col min="43" max="43" width="12.28515625" bestFit="1" customWidth="1"/>
    <col min="44" max="44" width="15.42578125" bestFit="1" customWidth="1"/>
    <col min="45" max="45" width="12.28515625" bestFit="1" customWidth="1"/>
    <col min="46" max="46" width="15.42578125" bestFit="1" customWidth="1"/>
    <col min="47" max="47" width="12.28515625" bestFit="1" customWidth="1"/>
    <col min="48" max="48" width="15.42578125" bestFit="1" customWidth="1"/>
    <col min="49" max="49" width="12.28515625" bestFit="1" customWidth="1"/>
    <col min="50" max="50" width="15.42578125" bestFit="1" customWidth="1"/>
    <col min="51" max="51" width="12.28515625" bestFit="1" customWidth="1"/>
    <col min="52" max="52" width="15.42578125" bestFit="1" customWidth="1"/>
    <col min="53" max="53" width="12.28515625" bestFit="1" customWidth="1"/>
    <col min="54" max="54" width="15.42578125" bestFit="1" customWidth="1"/>
    <col min="55" max="55" width="12.28515625" bestFit="1" customWidth="1"/>
    <col min="56" max="56" width="15.42578125" bestFit="1" customWidth="1"/>
    <col min="57" max="57" width="12.28515625" bestFit="1" customWidth="1"/>
    <col min="58" max="58" width="15.42578125" bestFit="1" customWidth="1"/>
    <col min="59" max="59" width="12.28515625" bestFit="1" customWidth="1"/>
    <col min="60" max="60" width="15.42578125" bestFit="1" customWidth="1"/>
    <col min="61" max="61" width="12.28515625" bestFit="1" customWidth="1"/>
    <col min="62" max="62" width="15.42578125" bestFit="1" customWidth="1"/>
    <col min="63" max="63" width="12.28515625" bestFit="1" customWidth="1"/>
    <col min="64" max="64" width="15.42578125" bestFit="1" customWidth="1"/>
    <col min="65" max="65" width="12.28515625" bestFit="1" customWidth="1"/>
    <col min="66" max="66" width="15.42578125" bestFit="1" customWidth="1"/>
    <col min="67" max="67" width="12.7109375" bestFit="1" customWidth="1"/>
  </cols>
  <sheetData>
    <row r="1" spans="1:6">
      <c r="A1" s="47" t="s">
        <v>358</v>
      </c>
      <c r="B1" s="47"/>
      <c r="D1" s="47" t="s">
        <v>359</v>
      </c>
      <c r="E1" s="47"/>
      <c r="F1" s="47"/>
    </row>
    <row r="2" spans="1:6">
      <c r="A2" s="47"/>
      <c r="B2" s="47"/>
      <c r="D2" s="47"/>
      <c r="E2" s="47"/>
      <c r="F2" s="47"/>
    </row>
    <row r="3" spans="1:6">
      <c r="A3" t="s">
        <v>360</v>
      </c>
      <c r="B3" t="s">
        <v>361</v>
      </c>
      <c r="D3" s="10" t="s">
        <v>362</v>
      </c>
      <c r="E3" t="s">
        <v>363</v>
      </c>
      <c r="F3" t="s">
        <v>364</v>
      </c>
    </row>
    <row r="4" spans="1:6">
      <c r="A4">
        <v>200</v>
      </c>
      <c r="B4" s="3">
        <v>1097400</v>
      </c>
      <c r="D4" s="11" t="s">
        <v>19</v>
      </c>
      <c r="E4" s="3">
        <v>45000</v>
      </c>
      <c r="F4" s="46">
        <v>7</v>
      </c>
    </row>
    <row r="5" spans="1:6">
      <c r="D5" s="11" t="s">
        <v>57</v>
      </c>
      <c r="E5" s="3">
        <v>42500</v>
      </c>
      <c r="F5" s="46">
        <v>6</v>
      </c>
    </row>
    <row r="6" spans="1:6">
      <c r="A6" s="47" t="s">
        <v>365</v>
      </c>
      <c r="B6" s="47"/>
      <c r="D6" s="11" t="s">
        <v>100</v>
      </c>
      <c r="E6" s="3">
        <v>25000</v>
      </c>
      <c r="F6" s="46">
        <v>4</v>
      </c>
    </row>
    <row r="7" spans="1:6">
      <c r="A7" s="47"/>
      <c r="B7" s="47"/>
      <c r="D7" s="11" t="s">
        <v>43</v>
      </c>
      <c r="E7" s="3">
        <v>17500</v>
      </c>
      <c r="F7" s="46">
        <v>3</v>
      </c>
    </row>
    <row r="8" spans="1:6">
      <c r="A8" s="10" t="s">
        <v>366</v>
      </c>
      <c r="B8" t="s">
        <v>364</v>
      </c>
      <c r="D8" s="11" t="s">
        <v>34</v>
      </c>
      <c r="E8" s="3">
        <v>40000</v>
      </c>
      <c r="F8" s="46">
        <v>6</v>
      </c>
    </row>
    <row r="9" spans="1:6">
      <c r="A9" t="s">
        <v>367</v>
      </c>
      <c r="B9">
        <v>177</v>
      </c>
      <c r="D9" s="11" t="s">
        <v>30</v>
      </c>
      <c r="E9" s="3">
        <v>35000</v>
      </c>
      <c r="F9" s="46">
        <v>6</v>
      </c>
    </row>
    <row r="10" spans="1:6">
      <c r="A10" t="s">
        <v>368</v>
      </c>
      <c r="B10">
        <v>23</v>
      </c>
      <c r="D10" s="11" t="s">
        <v>369</v>
      </c>
      <c r="E10" s="3">
        <v>205000</v>
      </c>
      <c r="F10" s="46">
        <v>32</v>
      </c>
    </row>
    <row r="11" spans="1:6">
      <c r="A11" t="s">
        <v>369</v>
      </c>
      <c r="B11">
        <v>200</v>
      </c>
    </row>
    <row r="13" spans="1:6">
      <c r="A13" s="47" t="s">
        <v>370</v>
      </c>
      <c r="B13" s="47"/>
    </row>
    <row r="14" spans="1:6">
      <c r="A14" s="47"/>
      <c r="B14" s="47"/>
    </row>
    <row r="15" spans="1:6">
      <c r="A15" s="10" t="s">
        <v>362</v>
      </c>
      <c r="B15" t="s">
        <v>364</v>
      </c>
    </row>
    <row r="16" spans="1:6">
      <c r="A16" s="11" t="s">
        <v>18</v>
      </c>
      <c r="B16">
        <v>70</v>
      </c>
    </row>
    <row r="17" spans="1:2">
      <c r="A17" s="11" t="s">
        <v>25</v>
      </c>
      <c r="B17">
        <v>65</v>
      </c>
    </row>
    <row r="18" spans="1:2">
      <c r="A18" s="11" t="s">
        <v>42</v>
      </c>
      <c r="B18">
        <v>65</v>
      </c>
    </row>
    <row r="19" spans="1:2">
      <c r="A19" s="11" t="s">
        <v>369</v>
      </c>
      <c r="B19">
        <v>200</v>
      </c>
    </row>
    <row r="21" spans="1:2">
      <c r="A21" s="47" t="s">
        <v>371</v>
      </c>
      <c r="B21" s="47"/>
    </row>
    <row r="22" spans="1:2">
      <c r="A22" s="47"/>
      <c r="B22" s="47"/>
    </row>
    <row r="23" spans="1:2">
      <c r="A23" s="10" t="s">
        <v>362</v>
      </c>
      <c r="B23" t="s">
        <v>363</v>
      </c>
    </row>
    <row r="24" spans="1:2">
      <c r="A24" s="11" t="s">
        <v>55</v>
      </c>
      <c r="B24" s="3">
        <v>78400</v>
      </c>
    </row>
    <row r="25" spans="1:2">
      <c r="A25" s="11" t="s">
        <v>107</v>
      </c>
      <c r="B25" s="3">
        <v>213000</v>
      </c>
    </row>
    <row r="26" spans="1:2">
      <c r="A26" s="11" t="s">
        <v>16</v>
      </c>
      <c r="B26" s="3">
        <v>205000</v>
      </c>
    </row>
    <row r="27" spans="1:2">
      <c r="A27" s="11" t="s">
        <v>41</v>
      </c>
      <c r="B27" s="3">
        <v>178200</v>
      </c>
    </row>
    <row r="28" spans="1:2">
      <c r="A28" s="11" t="s">
        <v>23</v>
      </c>
      <c r="B28" s="3">
        <v>328000</v>
      </c>
    </row>
    <row r="29" spans="1:2">
      <c r="A29" s="11" t="s">
        <v>29</v>
      </c>
      <c r="B29" s="3">
        <v>94800</v>
      </c>
    </row>
    <row r="30" spans="1:2">
      <c r="A30" s="11" t="s">
        <v>369</v>
      </c>
      <c r="B30" s="3">
        <v>1097400</v>
      </c>
    </row>
  </sheetData>
  <mergeCells count="5">
    <mergeCell ref="A13:B14"/>
    <mergeCell ref="A1:B2"/>
    <mergeCell ref="A21:B22"/>
    <mergeCell ref="D1:F2"/>
    <mergeCell ref="A6: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252B-64AC-4DA9-A782-035919A763F5}">
  <sheetPr>
    <pageSetUpPr fitToPage="1"/>
  </sheetPr>
  <dimension ref="B1:F20"/>
  <sheetViews>
    <sheetView workbookViewId="0"/>
  </sheetViews>
  <sheetFormatPr defaultRowHeight="15"/>
  <cols>
    <col min="1" max="1" width="4.7109375" customWidth="1"/>
    <col min="2" max="2" width="26.28515625" customWidth="1"/>
    <col min="3" max="3" width="26.5703125" customWidth="1"/>
    <col min="4" max="4" width="49.5703125" customWidth="1"/>
    <col min="5" max="5" width="34.42578125" customWidth="1"/>
    <col min="6" max="6" width="28" customWidth="1"/>
  </cols>
  <sheetData>
    <row r="1" spans="2:6" ht="45">
      <c r="B1" s="48" t="s">
        <v>372</v>
      </c>
      <c r="C1" s="49"/>
      <c r="D1" s="49"/>
      <c r="E1" s="49"/>
      <c r="F1" s="50"/>
    </row>
    <row r="2" spans="2:6" ht="18.75">
      <c r="B2" s="51" t="s">
        <v>373</v>
      </c>
      <c r="C2" s="52"/>
      <c r="D2" s="52"/>
      <c r="E2" s="52"/>
      <c r="F2" s="53"/>
    </row>
    <row r="3" spans="2:6">
      <c r="B3" s="23"/>
      <c r="F3" s="24"/>
    </row>
    <row r="4" spans="2:6" ht="18.75">
      <c r="B4" s="25" t="s">
        <v>374</v>
      </c>
      <c r="C4" t="s">
        <v>26</v>
      </c>
      <c r="E4" s="26" t="s">
        <v>375</v>
      </c>
      <c r="F4" s="27">
        <f ca="1">TODAY()</f>
        <v>46049</v>
      </c>
    </row>
    <row r="5" spans="2:6" ht="18.75">
      <c r="B5" s="23"/>
      <c r="E5" s="26" t="s">
        <v>376</v>
      </c>
      <c r="F5" s="24"/>
    </row>
    <row r="6" spans="2:6">
      <c r="B6" s="23"/>
      <c r="F6" s="24"/>
    </row>
    <row r="7" spans="2:6">
      <c r="B7" s="54" t="s">
        <v>377</v>
      </c>
      <c r="C7" s="55"/>
      <c r="D7" s="55"/>
      <c r="E7" s="55"/>
      <c r="F7" s="56"/>
    </row>
    <row r="8" spans="2:6">
      <c r="B8" s="54"/>
      <c r="C8" s="55"/>
      <c r="D8" s="55"/>
      <c r="E8" s="55"/>
      <c r="F8" s="56"/>
    </row>
    <row r="9" spans="2:6">
      <c r="B9" s="23"/>
      <c r="F9" s="24"/>
    </row>
    <row r="10" spans="2:6" ht="18.75">
      <c r="B10" s="25" t="s">
        <v>378</v>
      </c>
      <c r="C10" t="str">
        <f>_xlfn.XLOOKUP($C$4,'Sales Data'!A:A,'Sales Data'!D:D, "Not Found")</f>
        <v>C078</v>
      </c>
      <c r="F10" s="24"/>
    </row>
    <row r="11" spans="2:6" ht="18.75">
      <c r="B11" s="25" t="s">
        <v>379</v>
      </c>
      <c r="C11" t="str">
        <f>_xlfn.XLOOKUP($C$4,'Sales Data'!A:A,'Sales Data'!M:M)</f>
        <v>Peshawar</v>
      </c>
      <c r="F11" s="24"/>
    </row>
    <row r="12" spans="2:6" ht="18.75">
      <c r="B12" s="25" t="s">
        <v>380</v>
      </c>
      <c r="C12" t="str">
        <f>_xlfn.XLOOKUP($C$4,'Sales Data'!A:A,'Sales Data'!L:L)</f>
        <v>COD</v>
      </c>
      <c r="F12" s="24"/>
    </row>
    <row r="13" spans="2:6">
      <c r="B13" s="23"/>
      <c r="F13" s="24"/>
    </row>
    <row r="14" spans="2:6" ht="21">
      <c r="B14" s="28" t="s">
        <v>4</v>
      </c>
      <c r="C14" s="29" t="s">
        <v>6</v>
      </c>
      <c r="D14" s="28" t="s">
        <v>7</v>
      </c>
      <c r="E14" s="28" t="s">
        <v>381</v>
      </c>
      <c r="F14" s="28" t="s">
        <v>382</v>
      </c>
    </row>
    <row r="15" spans="2:6">
      <c r="B15" s="15" t="str">
        <f>_xlfn.XLOOKUP($C$4,'Sales Data'!A:A,'Sales Data'!E:E)</f>
        <v>T-Shirt</v>
      </c>
      <c r="C15" s="15">
        <f>_xlfn.XLOOKUP($C$4,'Sales Data'!A:A,'Sales Data'!G:G)</f>
        <v>4</v>
      </c>
      <c r="D15" s="30">
        <f>_xlfn.XLOOKUP($C$4,'Sales Data'!A:A,'Sales Data'!H:H)</f>
        <v>1200</v>
      </c>
      <c r="E15" s="30">
        <f>C15*D15</f>
        <v>4800</v>
      </c>
      <c r="F15" s="31">
        <v>0.1</v>
      </c>
    </row>
    <row r="16" spans="2:6">
      <c r="B16" s="32" t="s">
        <v>383</v>
      </c>
      <c r="C16" s="33" t="s">
        <v>383</v>
      </c>
      <c r="D16" s="33" t="s">
        <v>383</v>
      </c>
      <c r="E16" s="33" t="s">
        <v>383</v>
      </c>
      <c r="F16" s="33" t="s">
        <v>383</v>
      </c>
    </row>
    <row r="17" spans="2:6">
      <c r="B17" s="33" t="s">
        <v>383</v>
      </c>
      <c r="C17" s="33" t="s">
        <v>383</v>
      </c>
      <c r="D17" s="33" t="s">
        <v>383</v>
      </c>
      <c r="E17" s="33" t="s">
        <v>383</v>
      </c>
      <c r="F17" s="33" t="s">
        <v>383</v>
      </c>
    </row>
    <row r="18" spans="2:6">
      <c r="B18" s="33" t="s">
        <v>383</v>
      </c>
      <c r="C18" s="33" t="s">
        <v>383</v>
      </c>
      <c r="D18" s="33" t="s">
        <v>383</v>
      </c>
      <c r="E18" s="33" t="s">
        <v>383</v>
      </c>
      <c r="F18" s="33" t="s">
        <v>383</v>
      </c>
    </row>
    <row r="19" spans="2:6">
      <c r="B19" s="33" t="s">
        <v>383</v>
      </c>
      <c r="C19" s="33" t="s">
        <v>383</v>
      </c>
      <c r="D19" s="33" t="s">
        <v>383</v>
      </c>
      <c r="E19" s="33" t="s">
        <v>383</v>
      </c>
      <c r="F19" s="33" t="s">
        <v>383</v>
      </c>
    </row>
    <row r="20" spans="2:6" ht="18.75">
      <c r="B20" s="57" t="s">
        <v>369</v>
      </c>
      <c r="C20" s="57"/>
      <c r="D20" s="34">
        <f>E15*(1-F15)</f>
        <v>4320</v>
      </c>
      <c r="E20" s="15"/>
      <c r="F20" s="15"/>
    </row>
  </sheetData>
  <mergeCells count="4">
    <mergeCell ref="B1:F1"/>
    <mergeCell ref="B2:F2"/>
    <mergeCell ref="B7:F8"/>
    <mergeCell ref="B20:C20"/>
  </mergeCells>
  <pageMargins left="0.7" right="0.7" top="0.75" bottom="0.75" header="0.3" footer="0.3"/>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8061-5F50-4B80-AF23-79FA07E766EA}">
  <dimension ref="C2:O5"/>
  <sheetViews>
    <sheetView tabSelected="1" workbookViewId="0">
      <selection activeCell="D2" sqref="D2"/>
    </sheetView>
  </sheetViews>
  <sheetFormatPr defaultRowHeight="15"/>
  <cols>
    <col min="3" max="3" width="21.42578125" customWidth="1"/>
    <col min="4" max="4" width="18.140625" customWidth="1"/>
    <col min="6" max="6" width="12.42578125" customWidth="1"/>
    <col min="10" max="10" width="10.5703125" customWidth="1"/>
    <col min="14" max="14" width="16.5703125" customWidth="1"/>
  </cols>
  <sheetData>
    <row r="2" spans="3:15" ht="23.25">
      <c r="C2" s="12" t="s">
        <v>384</v>
      </c>
      <c r="D2" s="13" t="s">
        <v>73</v>
      </c>
    </row>
    <row r="4" spans="3:15">
      <c r="C4" s="39" t="s">
        <v>0</v>
      </c>
      <c r="D4" s="40" t="s">
        <v>1</v>
      </c>
      <c r="E4" s="40" t="s">
        <v>2</v>
      </c>
      <c r="F4" s="39" t="s">
        <v>3</v>
      </c>
      <c r="G4" s="39" t="s">
        <v>4</v>
      </c>
      <c r="H4" s="39" t="s">
        <v>5</v>
      </c>
      <c r="I4" s="41" t="s">
        <v>6</v>
      </c>
      <c r="J4" s="42" t="s">
        <v>7</v>
      </c>
      <c r="K4" s="42" t="s">
        <v>8</v>
      </c>
      <c r="L4" s="42" t="s">
        <v>9</v>
      </c>
      <c r="M4" s="42" t="s">
        <v>10</v>
      </c>
      <c r="N4" s="39" t="s">
        <v>11</v>
      </c>
      <c r="O4" s="39" t="s">
        <v>12</v>
      </c>
    </row>
    <row r="5" spans="3:15" ht="18" customHeight="1">
      <c r="C5" s="14" t="str" cm="1">
        <f t="array" ref="C5:O5">_xlfn._xlws.FILTER(Table1[],ISNUMBER(SEARCH(D2,Table1[Order ID])))</f>
        <v>ORD017</v>
      </c>
      <c r="D5" t="str">
        <v>2025-01-16</v>
      </c>
      <c r="E5" t="str">
        <v>Jan-2025</v>
      </c>
      <c r="F5" t="str">
        <v>C006</v>
      </c>
      <c r="G5" t="str">
        <v>Sneakers</v>
      </c>
      <c r="H5" t="str">
        <v>Footwear</v>
      </c>
      <c r="I5">
        <v>1</v>
      </c>
      <c r="J5">
        <v>4000</v>
      </c>
      <c r="K5">
        <v>4000</v>
      </c>
      <c r="L5">
        <v>3000</v>
      </c>
      <c r="M5">
        <v>1000</v>
      </c>
      <c r="N5" t="str">
        <v>Card</v>
      </c>
      <c r="O5" t="str">
        <v>Peshawar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55E5-7A52-4C92-9862-4109E5881F7B}">
  <dimension ref="A1:F202"/>
  <sheetViews>
    <sheetView workbookViewId="0">
      <selection activeCell="I6" sqref="I6"/>
    </sheetView>
  </sheetViews>
  <sheetFormatPr defaultRowHeight="15"/>
  <cols>
    <col min="2" max="2" width="11.7109375" bestFit="1" customWidth="1"/>
    <col min="6" max="6" width="13.85546875" bestFit="1" customWidth="1"/>
  </cols>
  <sheetData>
    <row r="1" spans="1:6" ht="23.25">
      <c r="A1" s="58" t="s">
        <v>385</v>
      </c>
      <c r="B1" s="59"/>
      <c r="C1" s="59"/>
      <c r="D1" s="59"/>
      <c r="E1" s="59"/>
      <c r="F1" s="60"/>
    </row>
    <row r="2" spans="1:6">
      <c r="A2" s="18" t="s">
        <v>0</v>
      </c>
      <c r="B2" s="18" t="s">
        <v>3</v>
      </c>
      <c r="C2" s="18" t="s">
        <v>4</v>
      </c>
      <c r="D2" s="18" t="s">
        <v>6</v>
      </c>
      <c r="E2" s="18" t="s">
        <v>367</v>
      </c>
      <c r="F2" s="18" t="s">
        <v>366</v>
      </c>
    </row>
    <row r="3" spans="1:6">
      <c r="A3" s="15" t="str" cm="1">
        <f t="array" ref="A3:A202">Table1[Order ID]</f>
        <v>ORD001</v>
      </c>
      <c r="B3" s="15" t="str" cm="1">
        <f t="array" ref="B3:B202">Table1[Customer ID]</f>
        <v>C016</v>
      </c>
      <c r="C3" s="15" t="str" cm="1">
        <f t="array" ref="C3:C202">Table1[Product]</f>
        <v>Jeans</v>
      </c>
      <c r="D3" s="16" cm="1">
        <f t="array" ref="D3:D202">Table1[Quantity]</f>
        <v>1</v>
      </c>
      <c r="E3" s="17" t="b">
        <v>1</v>
      </c>
      <c r="F3" s="15" t="str">
        <f>IF(E3=TRUE,"Delivered","Pending")</f>
        <v>Delivered</v>
      </c>
    </row>
    <row r="4" spans="1:6">
      <c r="A4" s="15" t="str">
        <v>ORD002</v>
      </c>
      <c r="B4" s="15" t="str">
        <v>C027</v>
      </c>
      <c r="C4" s="15" t="str">
        <v>Sneakers</v>
      </c>
      <c r="D4" s="15">
        <v>4</v>
      </c>
      <c r="E4" s="17" t="b">
        <v>1</v>
      </c>
      <c r="F4" s="15" t="str">
        <f t="shared" ref="F4:F67" si="0">IF(E4=TRUE,"Delivered","Pending")</f>
        <v>Delivered</v>
      </c>
    </row>
    <row r="5" spans="1:6">
      <c r="A5" s="15" t="str">
        <v>ORD003</v>
      </c>
      <c r="B5" s="15" t="str">
        <v>C078</v>
      </c>
      <c r="C5" s="15" t="str">
        <v>T-Shirt</v>
      </c>
      <c r="D5" s="15">
        <v>4</v>
      </c>
      <c r="E5" s="17" t="b">
        <v>0</v>
      </c>
      <c r="F5" s="15" t="str">
        <f t="shared" si="0"/>
        <v>Pending</v>
      </c>
    </row>
    <row r="6" spans="1:6">
      <c r="A6" s="15" t="str">
        <v>ORD004</v>
      </c>
      <c r="B6" s="15" t="str">
        <v>C103</v>
      </c>
      <c r="C6" s="15" t="str">
        <v>Sneakers</v>
      </c>
      <c r="D6" s="15">
        <v>3</v>
      </c>
      <c r="E6" s="17" t="b">
        <v>1</v>
      </c>
      <c r="F6" s="15" t="str">
        <f t="shared" si="0"/>
        <v>Delivered</v>
      </c>
    </row>
    <row r="7" spans="1:6">
      <c r="A7" s="15" t="str">
        <v>ORD005</v>
      </c>
      <c r="B7" s="15" t="str">
        <v>C003</v>
      </c>
      <c r="C7" s="15" t="str">
        <v>T-Shirt</v>
      </c>
      <c r="D7" s="15">
        <v>3</v>
      </c>
      <c r="E7" s="17" t="b">
        <v>1</v>
      </c>
      <c r="F7" s="15" t="str">
        <f t="shared" si="0"/>
        <v>Delivered</v>
      </c>
    </row>
    <row r="8" spans="1:6">
      <c r="A8" s="15" t="str">
        <v>ORD006</v>
      </c>
      <c r="B8" s="15" t="str">
        <v>C049</v>
      </c>
      <c r="C8" s="15" t="str">
        <v>Sandals</v>
      </c>
      <c r="D8" s="15">
        <v>1</v>
      </c>
      <c r="E8" s="17" t="b">
        <v>1</v>
      </c>
      <c r="F8" s="15" t="str">
        <f t="shared" si="0"/>
        <v>Delivered</v>
      </c>
    </row>
    <row r="9" spans="1:6">
      <c r="A9" s="15" t="str">
        <v>ORD007</v>
      </c>
      <c r="B9" s="15" t="str">
        <v>C029</v>
      </c>
      <c r="C9" s="15" t="str">
        <v>Sneakers</v>
      </c>
      <c r="D9" s="15">
        <v>1</v>
      </c>
      <c r="E9" s="17" t="b">
        <v>0</v>
      </c>
      <c r="F9" s="15" t="str">
        <f t="shared" si="0"/>
        <v>Pending</v>
      </c>
    </row>
    <row r="10" spans="1:6">
      <c r="A10" s="15" t="str">
        <v>ORD008</v>
      </c>
      <c r="B10" s="15" t="str">
        <v>C030</v>
      </c>
      <c r="C10" s="15" t="str">
        <v>Sandals</v>
      </c>
      <c r="D10" s="15">
        <v>2</v>
      </c>
      <c r="E10" s="17" t="b">
        <v>1</v>
      </c>
      <c r="F10" s="15" t="str">
        <f t="shared" si="0"/>
        <v>Delivered</v>
      </c>
    </row>
    <row r="11" spans="1:6">
      <c r="A11" s="15" t="str">
        <v>ORD009</v>
      </c>
      <c r="B11" s="15" t="str">
        <v>C003</v>
      </c>
      <c r="C11" s="15" t="str">
        <v>Sneakers</v>
      </c>
      <c r="D11" s="15">
        <v>3</v>
      </c>
      <c r="E11" s="17" t="b">
        <v>1</v>
      </c>
      <c r="F11" s="15" t="str">
        <f t="shared" si="0"/>
        <v>Delivered</v>
      </c>
    </row>
    <row r="12" spans="1:6">
      <c r="A12" s="15" t="str">
        <v>ORD010</v>
      </c>
      <c r="B12" s="15" t="str">
        <v>C081</v>
      </c>
      <c r="C12" s="15" t="str">
        <v>Cap</v>
      </c>
      <c r="D12" s="15">
        <v>1</v>
      </c>
      <c r="E12" s="17" t="b">
        <v>1</v>
      </c>
      <c r="F12" s="15" t="str">
        <f t="shared" si="0"/>
        <v>Delivered</v>
      </c>
    </row>
    <row r="13" spans="1:6">
      <c r="A13" s="15" t="str">
        <v>ORD011</v>
      </c>
      <c r="B13" s="15" t="str">
        <v>C093</v>
      </c>
      <c r="C13" s="15" t="str">
        <v>T-Shirt</v>
      </c>
      <c r="D13" s="15">
        <v>3</v>
      </c>
      <c r="E13" s="17" t="b">
        <v>0</v>
      </c>
      <c r="F13" s="15" t="str">
        <f t="shared" si="0"/>
        <v>Pending</v>
      </c>
    </row>
    <row r="14" spans="1:6">
      <c r="A14" s="15" t="str">
        <v>ORD012</v>
      </c>
      <c r="B14" s="15" t="str">
        <v>C037</v>
      </c>
      <c r="C14" s="15" t="str">
        <v>Sneakers</v>
      </c>
      <c r="D14" s="15">
        <v>2</v>
      </c>
      <c r="E14" s="17" t="b">
        <v>1</v>
      </c>
      <c r="F14" s="15" t="str">
        <f t="shared" si="0"/>
        <v>Delivered</v>
      </c>
    </row>
    <row r="15" spans="1:6">
      <c r="A15" s="15" t="str">
        <v>ORD013</v>
      </c>
      <c r="B15" s="15" t="str">
        <v>C110</v>
      </c>
      <c r="C15" s="15" t="str">
        <v>Sandals</v>
      </c>
      <c r="D15" s="15">
        <v>4</v>
      </c>
      <c r="E15" s="17" t="b">
        <v>1</v>
      </c>
      <c r="F15" s="15" t="str">
        <f t="shared" si="0"/>
        <v>Delivered</v>
      </c>
    </row>
    <row r="16" spans="1:6">
      <c r="A16" s="15" t="str">
        <v>ORD014</v>
      </c>
      <c r="B16" s="15" t="str">
        <v>C086</v>
      </c>
      <c r="C16" s="15" t="str">
        <v>Jeans</v>
      </c>
      <c r="D16" s="15">
        <v>4</v>
      </c>
      <c r="E16" s="17" t="b">
        <v>1</v>
      </c>
      <c r="F16" s="15" t="str">
        <f t="shared" si="0"/>
        <v>Delivered</v>
      </c>
    </row>
    <row r="17" spans="1:6">
      <c r="A17" s="15" t="str">
        <v>ORD015</v>
      </c>
      <c r="B17" s="15" t="str">
        <v>C057</v>
      </c>
      <c r="C17" s="15" t="str">
        <v>Sandals</v>
      </c>
      <c r="D17" s="15">
        <v>3</v>
      </c>
      <c r="E17" s="17" t="b">
        <v>1</v>
      </c>
      <c r="F17" s="15" t="str">
        <f t="shared" si="0"/>
        <v>Delivered</v>
      </c>
    </row>
    <row r="18" spans="1:6">
      <c r="A18" s="15" t="str">
        <v>ORD016</v>
      </c>
      <c r="B18" s="15" t="str">
        <v>C108</v>
      </c>
      <c r="C18" s="15" t="str">
        <v>T-Shirt</v>
      </c>
      <c r="D18" s="15">
        <v>2</v>
      </c>
      <c r="E18" s="17" t="b">
        <v>1</v>
      </c>
      <c r="F18" s="15" t="str">
        <f t="shared" si="0"/>
        <v>Delivered</v>
      </c>
    </row>
    <row r="19" spans="1:6">
      <c r="A19" s="15" t="str">
        <v>ORD017</v>
      </c>
      <c r="B19" s="15" t="str">
        <v>C006</v>
      </c>
      <c r="C19" s="15" t="str">
        <v>Sneakers</v>
      </c>
      <c r="D19" s="15">
        <v>1</v>
      </c>
      <c r="E19" s="17" t="b">
        <v>1</v>
      </c>
      <c r="F19" s="15" t="str">
        <f t="shared" si="0"/>
        <v>Delivered</v>
      </c>
    </row>
    <row r="20" spans="1:6">
      <c r="A20" s="15" t="str">
        <v>ORD018</v>
      </c>
      <c r="B20" s="15" t="str">
        <v>C022</v>
      </c>
      <c r="C20" s="15" t="str">
        <v>Sandals</v>
      </c>
      <c r="D20" s="15">
        <v>4</v>
      </c>
      <c r="E20" s="17" t="b">
        <v>1</v>
      </c>
      <c r="F20" s="15" t="str">
        <f t="shared" si="0"/>
        <v>Delivered</v>
      </c>
    </row>
    <row r="21" spans="1:6">
      <c r="A21" s="15" t="str">
        <v>ORD019</v>
      </c>
      <c r="B21" s="15" t="str">
        <v>C026</v>
      </c>
      <c r="C21" s="15" t="str">
        <v>Jeans</v>
      </c>
      <c r="D21" s="15">
        <v>1</v>
      </c>
      <c r="E21" s="17" t="b">
        <v>1</v>
      </c>
      <c r="F21" s="15" t="str">
        <f t="shared" si="0"/>
        <v>Delivered</v>
      </c>
    </row>
    <row r="22" spans="1:6">
      <c r="A22" s="15" t="str">
        <v>ORD020</v>
      </c>
      <c r="B22" s="15" t="str">
        <v>C045</v>
      </c>
      <c r="C22" s="15" t="str">
        <v>Jeans</v>
      </c>
      <c r="D22" s="15">
        <v>4</v>
      </c>
      <c r="E22" s="17" t="b">
        <v>1</v>
      </c>
      <c r="F22" s="15" t="str">
        <f t="shared" si="0"/>
        <v>Delivered</v>
      </c>
    </row>
    <row r="23" spans="1:6">
      <c r="A23" s="15" t="str">
        <v>ORD021</v>
      </c>
      <c r="B23" s="15" t="str">
        <v>C071</v>
      </c>
      <c r="C23" s="15" t="str">
        <v>Sneakers</v>
      </c>
      <c r="D23" s="15">
        <v>3</v>
      </c>
      <c r="E23" s="17" t="b">
        <v>1</v>
      </c>
      <c r="F23" s="15" t="str">
        <f t="shared" si="0"/>
        <v>Delivered</v>
      </c>
    </row>
    <row r="24" spans="1:6">
      <c r="A24" s="15" t="str">
        <v>ORD022</v>
      </c>
      <c r="B24" s="15" t="str">
        <v>C110</v>
      </c>
      <c r="C24" s="15" t="str">
        <v>T-Shirt</v>
      </c>
      <c r="D24" s="15">
        <v>4</v>
      </c>
      <c r="E24" s="17" t="b">
        <v>0</v>
      </c>
      <c r="F24" s="15" t="str">
        <f t="shared" si="0"/>
        <v>Pending</v>
      </c>
    </row>
    <row r="25" spans="1:6">
      <c r="A25" s="15" t="str">
        <v>ORD023</v>
      </c>
      <c r="B25" s="15" t="str">
        <v>C008</v>
      </c>
      <c r="C25" s="15" t="str">
        <v>Jeans</v>
      </c>
      <c r="D25" s="15">
        <v>2</v>
      </c>
      <c r="E25" s="17" t="b">
        <v>1</v>
      </c>
      <c r="F25" s="15" t="str">
        <f t="shared" si="0"/>
        <v>Delivered</v>
      </c>
    </row>
    <row r="26" spans="1:6">
      <c r="A26" s="15" t="str">
        <v>ORD024</v>
      </c>
      <c r="B26" s="15" t="str">
        <v>C053</v>
      </c>
      <c r="C26" s="15" t="str">
        <v>Sandals</v>
      </c>
      <c r="D26" s="15">
        <v>2</v>
      </c>
      <c r="E26" s="17" t="b">
        <v>1</v>
      </c>
      <c r="F26" s="15" t="str">
        <f t="shared" si="0"/>
        <v>Delivered</v>
      </c>
    </row>
    <row r="27" spans="1:6">
      <c r="A27" s="15" t="str">
        <v>ORD025</v>
      </c>
      <c r="B27" s="15" t="str">
        <v>C069</v>
      </c>
      <c r="C27" s="15" t="str">
        <v>Sneakers</v>
      </c>
      <c r="D27" s="15">
        <v>3</v>
      </c>
      <c r="E27" s="17" t="b">
        <v>0</v>
      </c>
      <c r="F27" s="15" t="str">
        <f t="shared" si="0"/>
        <v>Pending</v>
      </c>
    </row>
    <row r="28" spans="1:6">
      <c r="A28" s="15" t="str">
        <v>ORD026</v>
      </c>
      <c r="B28" s="15" t="str">
        <v>C077</v>
      </c>
      <c r="C28" s="15" t="str">
        <v>Sandals</v>
      </c>
      <c r="D28" s="15">
        <v>3</v>
      </c>
      <c r="E28" s="17" t="b">
        <v>1</v>
      </c>
      <c r="F28" s="15" t="str">
        <f t="shared" si="0"/>
        <v>Delivered</v>
      </c>
    </row>
    <row r="29" spans="1:6">
      <c r="A29" s="15" t="str">
        <v>ORD027</v>
      </c>
      <c r="B29" s="15" t="str">
        <v>C075</v>
      </c>
      <c r="C29" s="15" t="str">
        <v>Cap</v>
      </c>
      <c r="D29" s="15">
        <v>2</v>
      </c>
      <c r="E29" s="17" t="b">
        <v>1</v>
      </c>
      <c r="F29" s="15" t="str">
        <f t="shared" si="0"/>
        <v>Delivered</v>
      </c>
    </row>
    <row r="30" spans="1:6">
      <c r="A30" s="15" t="str">
        <v>ORD028</v>
      </c>
      <c r="B30" s="15" t="str">
        <v>C108</v>
      </c>
      <c r="C30" s="15" t="str">
        <v>Sandals</v>
      </c>
      <c r="D30" s="15">
        <v>3</v>
      </c>
      <c r="E30" s="17" t="b">
        <v>0</v>
      </c>
      <c r="F30" s="15" t="str">
        <f t="shared" si="0"/>
        <v>Pending</v>
      </c>
    </row>
    <row r="31" spans="1:6">
      <c r="A31" s="15" t="str">
        <v>ORD029</v>
      </c>
      <c r="B31" s="15" t="str">
        <v>C002</v>
      </c>
      <c r="C31" s="15" t="str">
        <v>T-Shirt</v>
      </c>
      <c r="D31" s="15">
        <v>1</v>
      </c>
      <c r="E31" s="17" t="b">
        <v>0</v>
      </c>
      <c r="F31" s="15" t="str">
        <f t="shared" si="0"/>
        <v>Pending</v>
      </c>
    </row>
    <row r="32" spans="1:6">
      <c r="A32" s="15" t="str">
        <v>ORD030</v>
      </c>
      <c r="B32" s="15" t="str">
        <v>C080</v>
      </c>
      <c r="C32" s="15" t="str">
        <v>Hoodie</v>
      </c>
      <c r="D32" s="15">
        <v>1</v>
      </c>
      <c r="E32" s="17" t="b">
        <v>1</v>
      </c>
      <c r="F32" s="15" t="str">
        <f t="shared" si="0"/>
        <v>Delivered</v>
      </c>
    </row>
    <row r="33" spans="1:6">
      <c r="A33" s="15" t="str">
        <v>ORD031</v>
      </c>
      <c r="B33" s="15" t="str">
        <v>C021</v>
      </c>
      <c r="C33" s="15" t="str">
        <v>Hoodie</v>
      </c>
      <c r="D33" s="15">
        <v>1</v>
      </c>
      <c r="E33" s="17" t="b">
        <v>1</v>
      </c>
      <c r="F33" s="15" t="str">
        <f t="shared" si="0"/>
        <v>Delivered</v>
      </c>
    </row>
    <row r="34" spans="1:6">
      <c r="A34" s="15" t="str">
        <v>ORD032</v>
      </c>
      <c r="B34" s="15" t="str">
        <v>C092</v>
      </c>
      <c r="C34" s="15" t="str">
        <v>Jeans</v>
      </c>
      <c r="D34" s="15">
        <v>3</v>
      </c>
      <c r="E34" s="17" t="b">
        <v>1</v>
      </c>
      <c r="F34" s="15" t="str">
        <f t="shared" si="0"/>
        <v>Delivered</v>
      </c>
    </row>
    <row r="35" spans="1:6">
      <c r="A35" s="15" t="str">
        <v>ORD033</v>
      </c>
      <c r="B35" s="15" t="str">
        <v>C061</v>
      </c>
      <c r="C35" s="15" t="str">
        <v>Cap</v>
      </c>
      <c r="D35" s="15">
        <v>3</v>
      </c>
      <c r="E35" s="17" t="b">
        <v>1</v>
      </c>
      <c r="F35" s="15" t="str">
        <f t="shared" si="0"/>
        <v>Delivered</v>
      </c>
    </row>
    <row r="36" spans="1:6">
      <c r="A36" s="15" t="str">
        <v>ORD034</v>
      </c>
      <c r="B36" s="15" t="str">
        <v>C054</v>
      </c>
      <c r="C36" s="15" t="str">
        <v>Hoodie</v>
      </c>
      <c r="D36" s="15">
        <v>4</v>
      </c>
      <c r="E36" s="17" t="b">
        <v>1</v>
      </c>
      <c r="F36" s="15" t="str">
        <f t="shared" si="0"/>
        <v>Delivered</v>
      </c>
    </row>
    <row r="37" spans="1:6">
      <c r="A37" s="15" t="str">
        <v>ORD035</v>
      </c>
      <c r="B37" s="15" t="str">
        <v>C094</v>
      </c>
      <c r="C37" s="15" t="str">
        <v>T-Shirt</v>
      </c>
      <c r="D37" s="15">
        <v>3</v>
      </c>
      <c r="E37" s="17" t="b">
        <v>1</v>
      </c>
      <c r="F37" s="15" t="str">
        <f t="shared" si="0"/>
        <v>Delivered</v>
      </c>
    </row>
    <row r="38" spans="1:6">
      <c r="A38" s="15" t="str">
        <v>ORD036</v>
      </c>
      <c r="B38" s="15" t="str">
        <v>C003</v>
      </c>
      <c r="C38" s="15" t="str">
        <v>Sandals</v>
      </c>
      <c r="D38" s="15">
        <v>4</v>
      </c>
      <c r="E38" s="17" t="b">
        <v>1</v>
      </c>
      <c r="F38" s="15" t="str">
        <f t="shared" si="0"/>
        <v>Delivered</v>
      </c>
    </row>
    <row r="39" spans="1:6">
      <c r="A39" s="15" t="str">
        <v>ORD037</v>
      </c>
      <c r="B39" s="15" t="str">
        <v>C093</v>
      </c>
      <c r="C39" s="15" t="str">
        <v>Sneakers</v>
      </c>
      <c r="D39" s="15">
        <v>2</v>
      </c>
      <c r="E39" s="17" t="b">
        <v>1</v>
      </c>
      <c r="F39" s="15" t="str">
        <f t="shared" si="0"/>
        <v>Delivered</v>
      </c>
    </row>
    <row r="40" spans="1:6">
      <c r="A40" s="15" t="str">
        <v>ORD038</v>
      </c>
      <c r="B40" s="15" t="str">
        <v>C107</v>
      </c>
      <c r="C40" s="15" t="str">
        <v>Cap</v>
      </c>
      <c r="D40" s="15">
        <v>4</v>
      </c>
      <c r="E40" s="17" t="b">
        <v>1</v>
      </c>
      <c r="F40" s="15" t="str">
        <f t="shared" si="0"/>
        <v>Delivered</v>
      </c>
    </row>
    <row r="41" spans="1:6">
      <c r="A41" s="15" t="str">
        <v>ORD039</v>
      </c>
      <c r="B41" s="15" t="str">
        <v>C068</v>
      </c>
      <c r="C41" s="15" t="str">
        <v>Cap</v>
      </c>
      <c r="D41" s="15">
        <v>4</v>
      </c>
      <c r="E41" s="17" t="b">
        <v>1</v>
      </c>
      <c r="F41" s="15" t="str">
        <f t="shared" si="0"/>
        <v>Delivered</v>
      </c>
    </row>
    <row r="42" spans="1:6">
      <c r="A42" s="15" t="str">
        <v>ORD040</v>
      </c>
      <c r="B42" s="15" t="str">
        <v>C081</v>
      </c>
      <c r="C42" s="15" t="str">
        <v>Sneakers</v>
      </c>
      <c r="D42" s="15">
        <v>3</v>
      </c>
      <c r="E42" s="17" t="b">
        <v>1</v>
      </c>
      <c r="F42" s="15" t="str">
        <f t="shared" si="0"/>
        <v>Delivered</v>
      </c>
    </row>
    <row r="43" spans="1:6">
      <c r="A43" s="15" t="str">
        <v>ORD041</v>
      </c>
      <c r="B43" s="15" t="str">
        <v>C028</v>
      </c>
      <c r="C43" s="15" t="str">
        <v>Cap</v>
      </c>
      <c r="D43" s="15">
        <v>3</v>
      </c>
      <c r="E43" s="17" t="b">
        <v>1</v>
      </c>
      <c r="F43" s="15" t="str">
        <f t="shared" si="0"/>
        <v>Delivered</v>
      </c>
    </row>
    <row r="44" spans="1:6">
      <c r="A44" s="15" t="str">
        <v>ORD042</v>
      </c>
      <c r="B44" s="15" t="str">
        <v>C118</v>
      </c>
      <c r="C44" s="15" t="str">
        <v>T-Shirt</v>
      </c>
      <c r="D44" s="15">
        <v>1</v>
      </c>
      <c r="E44" s="17" t="b">
        <v>1</v>
      </c>
      <c r="F44" s="15" t="str">
        <f t="shared" si="0"/>
        <v>Delivered</v>
      </c>
    </row>
    <row r="45" spans="1:6">
      <c r="A45" s="15" t="str">
        <v>ORD043</v>
      </c>
      <c r="B45" s="15" t="str">
        <v>C033</v>
      </c>
      <c r="C45" s="15" t="str">
        <v>Jeans</v>
      </c>
      <c r="D45" s="15">
        <v>4</v>
      </c>
      <c r="E45" s="17" t="b">
        <v>1</v>
      </c>
      <c r="F45" s="15" t="str">
        <f t="shared" si="0"/>
        <v>Delivered</v>
      </c>
    </row>
    <row r="46" spans="1:6">
      <c r="A46" s="15" t="str">
        <v>ORD044</v>
      </c>
      <c r="B46" s="15" t="str">
        <v>C105</v>
      </c>
      <c r="C46" s="15" t="str">
        <v>Sandals</v>
      </c>
      <c r="D46" s="15">
        <v>1</v>
      </c>
      <c r="E46" s="17" t="b">
        <v>1</v>
      </c>
      <c r="F46" s="15" t="str">
        <f t="shared" si="0"/>
        <v>Delivered</v>
      </c>
    </row>
    <row r="47" spans="1:6">
      <c r="A47" s="15" t="str">
        <v>ORD045</v>
      </c>
      <c r="B47" s="15" t="str">
        <v>C112</v>
      </c>
      <c r="C47" s="15" t="str">
        <v>Sneakers</v>
      </c>
      <c r="D47" s="15">
        <v>2</v>
      </c>
      <c r="E47" s="17" t="b">
        <v>1</v>
      </c>
      <c r="F47" s="15" t="str">
        <f t="shared" si="0"/>
        <v>Delivered</v>
      </c>
    </row>
    <row r="48" spans="1:6">
      <c r="A48" s="15" t="str">
        <v>ORD046</v>
      </c>
      <c r="B48" s="15" t="str">
        <v>C026</v>
      </c>
      <c r="C48" s="15" t="str">
        <v>Sandals</v>
      </c>
      <c r="D48" s="15">
        <v>1</v>
      </c>
      <c r="E48" s="17" t="b">
        <v>1</v>
      </c>
      <c r="F48" s="15" t="str">
        <f t="shared" si="0"/>
        <v>Delivered</v>
      </c>
    </row>
    <row r="49" spans="1:6">
      <c r="A49" s="15" t="str">
        <v>ORD047</v>
      </c>
      <c r="B49" s="15" t="str">
        <v>C025</v>
      </c>
      <c r="C49" s="15" t="str">
        <v>Jeans</v>
      </c>
      <c r="D49" s="15">
        <v>4</v>
      </c>
      <c r="E49" s="17" t="b">
        <v>1</v>
      </c>
      <c r="F49" s="15" t="str">
        <f t="shared" si="0"/>
        <v>Delivered</v>
      </c>
    </row>
    <row r="50" spans="1:6">
      <c r="A50" s="15" t="str">
        <v>ORD048</v>
      </c>
      <c r="B50" s="15" t="str">
        <v>C065</v>
      </c>
      <c r="C50" s="15" t="str">
        <v>Cap</v>
      </c>
      <c r="D50" s="15">
        <v>4</v>
      </c>
      <c r="E50" s="17" t="b">
        <v>1</v>
      </c>
      <c r="F50" s="15" t="str">
        <f t="shared" si="0"/>
        <v>Delivered</v>
      </c>
    </row>
    <row r="51" spans="1:6">
      <c r="A51" s="15" t="str">
        <v>ORD049</v>
      </c>
      <c r="B51" s="15" t="str">
        <v>C037</v>
      </c>
      <c r="C51" s="15" t="str">
        <v>Hoodie</v>
      </c>
      <c r="D51" s="15">
        <v>4</v>
      </c>
      <c r="E51" s="17" t="b">
        <v>0</v>
      </c>
      <c r="F51" s="15" t="str">
        <f t="shared" si="0"/>
        <v>Pending</v>
      </c>
    </row>
    <row r="52" spans="1:6">
      <c r="A52" s="15" t="str">
        <v>ORD050</v>
      </c>
      <c r="B52" s="15" t="str">
        <v>C073</v>
      </c>
      <c r="C52" s="15" t="str">
        <v>Jeans</v>
      </c>
      <c r="D52" s="15">
        <v>3</v>
      </c>
      <c r="E52" s="17" t="b">
        <v>1</v>
      </c>
      <c r="F52" s="15" t="str">
        <f t="shared" si="0"/>
        <v>Delivered</v>
      </c>
    </row>
    <row r="53" spans="1:6">
      <c r="A53" s="15" t="str">
        <v>ORD051</v>
      </c>
      <c r="B53" s="15" t="str">
        <v>C087</v>
      </c>
      <c r="C53" s="15" t="str">
        <v>Sneakers</v>
      </c>
      <c r="D53" s="15">
        <v>2</v>
      </c>
      <c r="E53" s="17" t="b">
        <v>1</v>
      </c>
      <c r="F53" s="15" t="str">
        <f t="shared" si="0"/>
        <v>Delivered</v>
      </c>
    </row>
    <row r="54" spans="1:6">
      <c r="A54" s="15" t="str">
        <v>ORD052</v>
      </c>
      <c r="B54" s="15" t="str">
        <v>C113</v>
      </c>
      <c r="C54" s="15" t="str">
        <v>Sandals</v>
      </c>
      <c r="D54" s="15">
        <v>3</v>
      </c>
      <c r="E54" s="17" t="b">
        <v>1</v>
      </c>
      <c r="F54" s="15" t="str">
        <f t="shared" si="0"/>
        <v>Delivered</v>
      </c>
    </row>
    <row r="55" spans="1:6">
      <c r="A55" s="15" t="str">
        <v>ORD053</v>
      </c>
      <c r="B55" s="15" t="str">
        <v>C093</v>
      </c>
      <c r="C55" s="15" t="str">
        <v>Sneakers</v>
      </c>
      <c r="D55" s="15">
        <v>2</v>
      </c>
      <c r="E55" s="17" t="b">
        <v>1</v>
      </c>
      <c r="F55" s="15" t="str">
        <f t="shared" si="0"/>
        <v>Delivered</v>
      </c>
    </row>
    <row r="56" spans="1:6">
      <c r="A56" s="15" t="str">
        <v>ORD054</v>
      </c>
      <c r="B56" s="15" t="str">
        <v>C117</v>
      </c>
      <c r="C56" s="15" t="str">
        <v>Jeans</v>
      </c>
      <c r="D56" s="15">
        <v>2</v>
      </c>
      <c r="E56" s="17" t="b">
        <v>0</v>
      </c>
      <c r="F56" s="15" t="str">
        <f t="shared" si="0"/>
        <v>Pending</v>
      </c>
    </row>
    <row r="57" spans="1:6">
      <c r="A57" s="15" t="str">
        <v>ORD055</v>
      </c>
      <c r="B57" s="15" t="str">
        <v>C065</v>
      </c>
      <c r="C57" s="15" t="str">
        <v>Hoodie</v>
      </c>
      <c r="D57" s="15">
        <v>3</v>
      </c>
      <c r="E57" s="17" t="b">
        <v>1</v>
      </c>
      <c r="F57" s="15" t="str">
        <f t="shared" si="0"/>
        <v>Delivered</v>
      </c>
    </row>
    <row r="58" spans="1:6">
      <c r="A58" s="15" t="str">
        <v>ORD056</v>
      </c>
      <c r="B58" s="15" t="str">
        <v>C038</v>
      </c>
      <c r="C58" s="15" t="str">
        <v>Hoodie</v>
      </c>
      <c r="D58" s="15">
        <v>3</v>
      </c>
      <c r="E58" s="17" t="b">
        <v>1</v>
      </c>
      <c r="F58" s="15" t="str">
        <f t="shared" si="0"/>
        <v>Delivered</v>
      </c>
    </row>
    <row r="59" spans="1:6">
      <c r="A59" s="15" t="str">
        <v>ORD057</v>
      </c>
      <c r="B59" s="15" t="str">
        <v>C075</v>
      </c>
      <c r="C59" s="15" t="str">
        <v>Cap</v>
      </c>
      <c r="D59" s="15">
        <v>4</v>
      </c>
      <c r="E59" s="17" t="b">
        <v>0</v>
      </c>
      <c r="F59" s="15" t="str">
        <f t="shared" si="0"/>
        <v>Pending</v>
      </c>
    </row>
    <row r="60" spans="1:6">
      <c r="A60" s="15" t="str">
        <v>ORD058</v>
      </c>
      <c r="B60" s="15" t="str">
        <v>C010</v>
      </c>
      <c r="C60" s="15" t="str">
        <v>Hoodie</v>
      </c>
      <c r="D60" s="15">
        <v>1</v>
      </c>
      <c r="E60" s="17" t="b">
        <v>1</v>
      </c>
      <c r="F60" s="15" t="str">
        <f t="shared" si="0"/>
        <v>Delivered</v>
      </c>
    </row>
    <row r="61" spans="1:6">
      <c r="A61" s="15" t="str">
        <v>ORD059</v>
      </c>
      <c r="B61" s="15" t="str">
        <v>C079</v>
      </c>
      <c r="C61" s="15" t="str">
        <v>Jeans</v>
      </c>
      <c r="D61" s="15">
        <v>3</v>
      </c>
      <c r="E61" s="17" t="b">
        <v>1</v>
      </c>
      <c r="F61" s="15" t="str">
        <f t="shared" si="0"/>
        <v>Delivered</v>
      </c>
    </row>
    <row r="62" spans="1:6">
      <c r="A62" s="15" t="str">
        <v>ORD060</v>
      </c>
      <c r="B62" s="15" t="str">
        <v>C011</v>
      </c>
      <c r="C62" s="15" t="str">
        <v>T-Shirt</v>
      </c>
      <c r="D62" s="15">
        <v>2</v>
      </c>
      <c r="E62" s="17" t="b">
        <v>1</v>
      </c>
      <c r="F62" s="15" t="str">
        <f t="shared" si="0"/>
        <v>Delivered</v>
      </c>
    </row>
    <row r="63" spans="1:6">
      <c r="A63" s="15" t="str">
        <v>ORD061</v>
      </c>
      <c r="B63" s="15" t="str">
        <v>C115</v>
      </c>
      <c r="C63" s="15" t="str">
        <v>Hoodie</v>
      </c>
      <c r="D63" s="15">
        <v>1</v>
      </c>
      <c r="E63" s="17" t="b">
        <v>1</v>
      </c>
      <c r="F63" s="15" t="str">
        <f t="shared" si="0"/>
        <v>Delivered</v>
      </c>
    </row>
    <row r="64" spans="1:6">
      <c r="A64" s="15" t="str">
        <v>ORD062</v>
      </c>
      <c r="B64" s="15" t="str">
        <v>C079</v>
      </c>
      <c r="C64" s="15" t="str">
        <v>T-Shirt</v>
      </c>
      <c r="D64" s="15">
        <v>3</v>
      </c>
      <c r="E64" s="17" t="b">
        <v>1</v>
      </c>
      <c r="F64" s="15" t="str">
        <f t="shared" si="0"/>
        <v>Delivered</v>
      </c>
    </row>
    <row r="65" spans="1:6">
      <c r="A65" s="15" t="str">
        <v>ORD063</v>
      </c>
      <c r="B65" s="15" t="str">
        <v>C106</v>
      </c>
      <c r="C65" s="15" t="str">
        <v>T-Shirt</v>
      </c>
      <c r="D65" s="15">
        <v>4</v>
      </c>
      <c r="E65" s="17" t="b">
        <v>1</v>
      </c>
      <c r="F65" s="15" t="str">
        <f t="shared" si="0"/>
        <v>Delivered</v>
      </c>
    </row>
    <row r="66" spans="1:6">
      <c r="A66" s="15" t="str">
        <v>ORD064</v>
      </c>
      <c r="B66" s="15" t="str">
        <v>C015</v>
      </c>
      <c r="C66" s="15" t="str">
        <v>Jeans</v>
      </c>
      <c r="D66" s="15">
        <v>4</v>
      </c>
      <c r="E66" s="17" t="b">
        <v>1</v>
      </c>
      <c r="F66" s="15" t="str">
        <f t="shared" si="0"/>
        <v>Delivered</v>
      </c>
    </row>
    <row r="67" spans="1:6">
      <c r="A67" s="15" t="str">
        <v>ORD065</v>
      </c>
      <c r="B67" s="15" t="str">
        <v>C096</v>
      </c>
      <c r="C67" s="15" t="str">
        <v>Cap</v>
      </c>
      <c r="D67" s="15">
        <v>2</v>
      </c>
      <c r="E67" s="17" t="b">
        <v>1</v>
      </c>
      <c r="F67" s="15" t="str">
        <f t="shared" si="0"/>
        <v>Delivered</v>
      </c>
    </row>
    <row r="68" spans="1:6">
      <c r="A68" s="15" t="str">
        <v>ORD066</v>
      </c>
      <c r="B68" s="15" t="str">
        <v>C033</v>
      </c>
      <c r="C68" s="15" t="str">
        <v>Sneakers</v>
      </c>
      <c r="D68" s="15">
        <v>3</v>
      </c>
      <c r="E68" s="17" t="b">
        <v>1</v>
      </c>
      <c r="F68" s="15" t="str">
        <f t="shared" ref="F68:F131" si="1">IF(E68=TRUE,"Delivered","Pending")</f>
        <v>Delivered</v>
      </c>
    </row>
    <row r="69" spans="1:6">
      <c r="A69" s="15" t="str">
        <v>ORD067</v>
      </c>
      <c r="B69" s="15" t="str">
        <v>C084</v>
      </c>
      <c r="C69" s="15" t="str">
        <v>Hoodie</v>
      </c>
      <c r="D69" s="15">
        <v>1</v>
      </c>
      <c r="E69" s="17" t="b">
        <v>1</v>
      </c>
      <c r="F69" s="15" t="str">
        <f t="shared" si="1"/>
        <v>Delivered</v>
      </c>
    </row>
    <row r="70" spans="1:6">
      <c r="A70" s="15" t="str">
        <v>ORD068</v>
      </c>
      <c r="B70" s="15" t="str">
        <v>C119</v>
      </c>
      <c r="C70" s="15" t="str">
        <v>T-Shirt</v>
      </c>
      <c r="D70" s="15">
        <v>1</v>
      </c>
      <c r="E70" s="17" t="b">
        <v>0</v>
      </c>
      <c r="F70" s="15" t="str">
        <f t="shared" si="1"/>
        <v>Pending</v>
      </c>
    </row>
    <row r="71" spans="1:6">
      <c r="A71" s="15" t="str">
        <v>ORD069</v>
      </c>
      <c r="B71" s="15" t="str">
        <v>C051</v>
      </c>
      <c r="C71" s="15" t="str">
        <v>Sandals</v>
      </c>
      <c r="D71" s="15">
        <v>3</v>
      </c>
      <c r="E71" s="17" t="b">
        <v>1</v>
      </c>
      <c r="F71" s="15" t="str">
        <f t="shared" si="1"/>
        <v>Delivered</v>
      </c>
    </row>
    <row r="72" spans="1:6">
      <c r="A72" s="15" t="str">
        <v>ORD070</v>
      </c>
      <c r="B72" s="15" t="str">
        <v>C041</v>
      </c>
      <c r="C72" s="15" t="str">
        <v>T-Shirt</v>
      </c>
      <c r="D72" s="15">
        <v>1</v>
      </c>
      <c r="E72" s="17" t="b">
        <v>1</v>
      </c>
      <c r="F72" s="15" t="str">
        <f t="shared" si="1"/>
        <v>Delivered</v>
      </c>
    </row>
    <row r="73" spans="1:6">
      <c r="A73" s="15" t="str">
        <v>ORD071</v>
      </c>
      <c r="B73" s="15" t="str">
        <v>C101</v>
      </c>
      <c r="C73" s="15" t="str">
        <v>T-Shirt</v>
      </c>
      <c r="D73" s="15">
        <v>3</v>
      </c>
      <c r="E73" s="17" t="b">
        <v>1</v>
      </c>
      <c r="F73" s="15" t="str">
        <f t="shared" si="1"/>
        <v>Delivered</v>
      </c>
    </row>
    <row r="74" spans="1:6">
      <c r="A74" s="15" t="str">
        <v>ORD072</v>
      </c>
      <c r="B74" s="15" t="str">
        <v>C046</v>
      </c>
      <c r="C74" s="15" t="str">
        <v>Cap</v>
      </c>
      <c r="D74" s="15">
        <v>4</v>
      </c>
      <c r="E74" s="17" t="b">
        <v>1</v>
      </c>
      <c r="F74" s="15" t="str">
        <f t="shared" si="1"/>
        <v>Delivered</v>
      </c>
    </row>
    <row r="75" spans="1:6">
      <c r="A75" s="15" t="str">
        <v>ORD073</v>
      </c>
      <c r="B75" s="15" t="str">
        <v>C026</v>
      </c>
      <c r="C75" s="15" t="str">
        <v>Sandals</v>
      </c>
      <c r="D75" s="15">
        <v>2</v>
      </c>
      <c r="E75" s="17" t="b">
        <v>1</v>
      </c>
      <c r="F75" s="15" t="str">
        <f t="shared" si="1"/>
        <v>Delivered</v>
      </c>
    </row>
    <row r="76" spans="1:6">
      <c r="A76" s="15" t="str">
        <v>ORD074</v>
      </c>
      <c r="B76" s="15" t="str">
        <v>C097</v>
      </c>
      <c r="C76" s="15" t="str">
        <v>T-Shirt</v>
      </c>
      <c r="D76" s="15">
        <v>3</v>
      </c>
      <c r="E76" s="17" t="b">
        <v>1</v>
      </c>
      <c r="F76" s="15" t="str">
        <f t="shared" si="1"/>
        <v>Delivered</v>
      </c>
    </row>
    <row r="77" spans="1:6">
      <c r="A77" s="15" t="str">
        <v>ORD075</v>
      </c>
      <c r="B77" s="15" t="str">
        <v>C050</v>
      </c>
      <c r="C77" s="15" t="str">
        <v>Cap</v>
      </c>
      <c r="D77" s="15">
        <v>3</v>
      </c>
      <c r="E77" s="17" t="b">
        <v>1</v>
      </c>
      <c r="F77" s="15" t="str">
        <f t="shared" si="1"/>
        <v>Delivered</v>
      </c>
    </row>
    <row r="78" spans="1:6">
      <c r="A78" s="15" t="str">
        <v>ORD076</v>
      </c>
      <c r="B78" s="15" t="str">
        <v>C102</v>
      </c>
      <c r="C78" s="15" t="str">
        <v>Hoodie</v>
      </c>
      <c r="D78" s="15">
        <v>2</v>
      </c>
      <c r="E78" s="17" t="b">
        <v>0</v>
      </c>
      <c r="F78" s="15" t="str">
        <f t="shared" si="1"/>
        <v>Pending</v>
      </c>
    </row>
    <row r="79" spans="1:6">
      <c r="A79" s="15" t="str">
        <v>ORD077</v>
      </c>
      <c r="B79" s="15" t="str">
        <v>C070</v>
      </c>
      <c r="C79" s="15" t="str">
        <v>Jeans</v>
      </c>
      <c r="D79" s="15">
        <v>3</v>
      </c>
      <c r="E79" s="17" t="b">
        <v>1</v>
      </c>
      <c r="F79" s="15" t="str">
        <f t="shared" si="1"/>
        <v>Delivered</v>
      </c>
    </row>
    <row r="80" spans="1:6">
      <c r="A80" s="15" t="str">
        <v>ORD078</v>
      </c>
      <c r="B80" s="15" t="str">
        <v>C029</v>
      </c>
      <c r="C80" s="15" t="str">
        <v>Sandals</v>
      </c>
      <c r="D80" s="15">
        <v>1</v>
      </c>
      <c r="E80" s="17" t="b">
        <v>1</v>
      </c>
      <c r="F80" s="15" t="str">
        <f t="shared" si="1"/>
        <v>Delivered</v>
      </c>
    </row>
    <row r="81" spans="1:6">
      <c r="A81" s="15" t="str">
        <v>ORD079</v>
      </c>
      <c r="B81" s="15" t="str">
        <v>C071</v>
      </c>
      <c r="C81" s="15" t="str">
        <v>Sneakers</v>
      </c>
      <c r="D81" s="15">
        <v>1</v>
      </c>
      <c r="E81" s="17" t="b">
        <v>0</v>
      </c>
      <c r="F81" s="15" t="str">
        <f t="shared" si="1"/>
        <v>Pending</v>
      </c>
    </row>
    <row r="82" spans="1:6">
      <c r="A82" s="15" t="str">
        <v>ORD080</v>
      </c>
      <c r="B82" s="15" t="str">
        <v>C002</v>
      </c>
      <c r="C82" s="15" t="str">
        <v>T-Shirt</v>
      </c>
      <c r="D82" s="15">
        <v>1</v>
      </c>
      <c r="E82" s="17" t="b">
        <v>1</v>
      </c>
      <c r="F82" s="15" t="str">
        <f t="shared" si="1"/>
        <v>Delivered</v>
      </c>
    </row>
    <row r="83" spans="1:6">
      <c r="A83" s="15" t="str">
        <v>ORD081</v>
      </c>
      <c r="B83" s="15" t="str">
        <v>C110</v>
      </c>
      <c r="C83" s="15" t="str">
        <v>Sneakers</v>
      </c>
      <c r="D83" s="15">
        <v>4</v>
      </c>
      <c r="E83" s="17" t="b">
        <v>1</v>
      </c>
      <c r="F83" s="15" t="str">
        <f t="shared" si="1"/>
        <v>Delivered</v>
      </c>
    </row>
    <row r="84" spans="1:6">
      <c r="A84" s="15" t="str">
        <v>ORD082</v>
      </c>
      <c r="B84" s="15" t="str">
        <v>C066</v>
      </c>
      <c r="C84" s="15" t="str">
        <v>Sandals</v>
      </c>
      <c r="D84" s="15">
        <v>3</v>
      </c>
      <c r="E84" s="17" t="b">
        <v>1</v>
      </c>
      <c r="F84" s="15" t="str">
        <f t="shared" si="1"/>
        <v>Delivered</v>
      </c>
    </row>
    <row r="85" spans="1:6">
      <c r="A85" s="15" t="str">
        <v>ORD083</v>
      </c>
      <c r="B85" s="15" t="str">
        <v>C106</v>
      </c>
      <c r="C85" s="15" t="str">
        <v>Jeans</v>
      </c>
      <c r="D85" s="15">
        <v>2</v>
      </c>
      <c r="E85" s="17" t="b">
        <v>1</v>
      </c>
      <c r="F85" s="15" t="str">
        <f t="shared" si="1"/>
        <v>Delivered</v>
      </c>
    </row>
    <row r="86" spans="1:6">
      <c r="A86" s="15" t="str">
        <v>ORD084</v>
      </c>
      <c r="B86" s="15" t="str">
        <v>C115</v>
      </c>
      <c r="C86" s="15" t="str">
        <v>T-Shirt</v>
      </c>
      <c r="D86" s="15">
        <v>3</v>
      </c>
      <c r="E86" s="17" t="b">
        <v>1</v>
      </c>
      <c r="F86" s="15" t="str">
        <f t="shared" si="1"/>
        <v>Delivered</v>
      </c>
    </row>
    <row r="87" spans="1:6">
      <c r="A87" s="15" t="str">
        <v>ORD085</v>
      </c>
      <c r="B87" s="15" t="str">
        <v>C041</v>
      </c>
      <c r="C87" s="15" t="str">
        <v>Sandals</v>
      </c>
      <c r="D87" s="15">
        <v>1</v>
      </c>
      <c r="E87" s="17" t="b">
        <v>1</v>
      </c>
      <c r="F87" s="15" t="str">
        <f t="shared" si="1"/>
        <v>Delivered</v>
      </c>
    </row>
    <row r="88" spans="1:6">
      <c r="A88" s="15" t="str">
        <v>ORD086</v>
      </c>
      <c r="B88" s="15" t="str">
        <v>C039</v>
      </c>
      <c r="C88" s="15" t="str">
        <v>Sandals</v>
      </c>
      <c r="D88" s="15">
        <v>2</v>
      </c>
      <c r="E88" s="17" t="b">
        <v>1</v>
      </c>
      <c r="F88" s="15" t="str">
        <f t="shared" si="1"/>
        <v>Delivered</v>
      </c>
    </row>
    <row r="89" spans="1:6">
      <c r="A89" s="15" t="str">
        <v>ORD087</v>
      </c>
      <c r="B89" s="15" t="str">
        <v>C111</v>
      </c>
      <c r="C89" s="15" t="str">
        <v>Jeans</v>
      </c>
      <c r="D89" s="15">
        <v>1</v>
      </c>
      <c r="E89" s="17" t="b">
        <v>1</v>
      </c>
      <c r="F89" s="15" t="str">
        <f t="shared" si="1"/>
        <v>Delivered</v>
      </c>
    </row>
    <row r="90" spans="1:6">
      <c r="A90" s="15" t="str">
        <v>ORD088</v>
      </c>
      <c r="B90" s="15" t="str">
        <v>C058</v>
      </c>
      <c r="C90" s="15" t="str">
        <v>Hoodie</v>
      </c>
      <c r="D90" s="15">
        <v>1</v>
      </c>
      <c r="E90" s="17" t="b">
        <v>1</v>
      </c>
      <c r="F90" s="15" t="str">
        <f t="shared" si="1"/>
        <v>Delivered</v>
      </c>
    </row>
    <row r="91" spans="1:6">
      <c r="A91" s="15" t="str">
        <v>ORD089</v>
      </c>
      <c r="B91" s="15" t="str">
        <v>C069</v>
      </c>
      <c r="C91" s="15" t="str">
        <v>Hoodie</v>
      </c>
      <c r="D91" s="15">
        <v>4</v>
      </c>
      <c r="E91" s="17" t="b">
        <v>1</v>
      </c>
      <c r="F91" s="15" t="str">
        <f t="shared" si="1"/>
        <v>Delivered</v>
      </c>
    </row>
    <row r="92" spans="1:6">
      <c r="A92" s="15" t="str">
        <v>ORD090</v>
      </c>
      <c r="B92" s="15" t="str">
        <v>C034</v>
      </c>
      <c r="C92" s="15" t="str">
        <v>Sneakers</v>
      </c>
      <c r="D92" s="15">
        <v>3</v>
      </c>
      <c r="E92" s="17" t="b">
        <v>1</v>
      </c>
      <c r="F92" s="15" t="str">
        <f t="shared" si="1"/>
        <v>Delivered</v>
      </c>
    </row>
    <row r="93" spans="1:6">
      <c r="A93" s="15" t="str">
        <v>ORD091</v>
      </c>
      <c r="B93" s="15" t="str">
        <v>C003</v>
      </c>
      <c r="C93" s="15" t="str">
        <v>Cap</v>
      </c>
      <c r="D93" s="15">
        <v>4</v>
      </c>
      <c r="E93" s="17" t="b">
        <v>1</v>
      </c>
      <c r="F93" s="15" t="str">
        <f t="shared" si="1"/>
        <v>Delivered</v>
      </c>
    </row>
    <row r="94" spans="1:6">
      <c r="A94" s="15" t="str">
        <v>ORD092</v>
      </c>
      <c r="B94" s="15" t="str">
        <v>C017</v>
      </c>
      <c r="C94" s="15" t="str">
        <v>Hoodie</v>
      </c>
      <c r="D94" s="15">
        <v>2</v>
      </c>
      <c r="E94" s="17" t="b">
        <v>1</v>
      </c>
      <c r="F94" s="15" t="str">
        <f t="shared" si="1"/>
        <v>Delivered</v>
      </c>
    </row>
    <row r="95" spans="1:6">
      <c r="A95" s="15" t="str">
        <v>ORD093</v>
      </c>
      <c r="B95" s="15" t="str">
        <v>C052</v>
      </c>
      <c r="C95" s="15" t="str">
        <v>Hoodie</v>
      </c>
      <c r="D95" s="15">
        <v>4</v>
      </c>
      <c r="E95" s="17" t="b">
        <v>1</v>
      </c>
      <c r="F95" s="15" t="str">
        <f t="shared" si="1"/>
        <v>Delivered</v>
      </c>
    </row>
    <row r="96" spans="1:6">
      <c r="A96" s="15" t="str">
        <v>ORD094</v>
      </c>
      <c r="B96" s="15" t="str">
        <v>C001</v>
      </c>
      <c r="C96" s="15" t="str">
        <v>T-Shirt</v>
      </c>
      <c r="D96" s="15">
        <v>2</v>
      </c>
      <c r="E96" s="17" t="b">
        <v>1</v>
      </c>
      <c r="F96" s="15" t="str">
        <f t="shared" si="1"/>
        <v>Delivered</v>
      </c>
    </row>
    <row r="97" spans="1:6">
      <c r="A97" s="15" t="str">
        <v>ORD095</v>
      </c>
      <c r="B97" s="15" t="str">
        <v>C088</v>
      </c>
      <c r="C97" s="15" t="str">
        <v>Hoodie</v>
      </c>
      <c r="D97" s="15">
        <v>4</v>
      </c>
      <c r="E97" s="17" t="b">
        <v>1</v>
      </c>
      <c r="F97" s="15" t="str">
        <f t="shared" si="1"/>
        <v>Delivered</v>
      </c>
    </row>
    <row r="98" spans="1:6">
      <c r="A98" s="15" t="str">
        <v>ORD096</v>
      </c>
      <c r="B98" s="15" t="str">
        <v>C064</v>
      </c>
      <c r="C98" s="15" t="str">
        <v>Jeans</v>
      </c>
      <c r="D98" s="15">
        <v>2</v>
      </c>
      <c r="E98" s="17" t="b">
        <v>1</v>
      </c>
      <c r="F98" s="15" t="str">
        <f t="shared" si="1"/>
        <v>Delivered</v>
      </c>
    </row>
    <row r="99" spans="1:6">
      <c r="A99" s="15" t="str">
        <v>ORD097</v>
      </c>
      <c r="B99" s="15" t="str">
        <v>C072</v>
      </c>
      <c r="C99" s="15" t="str">
        <v>Jeans</v>
      </c>
      <c r="D99" s="15">
        <v>4</v>
      </c>
      <c r="E99" s="17" t="b">
        <v>1</v>
      </c>
      <c r="F99" s="15" t="str">
        <f t="shared" si="1"/>
        <v>Delivered</v>
      </c>
    </row>
    <row r="100" spans="1:6">
      <c r="A100" s="15" t="str">
        <v>ORD098</v>
      </c>
      <c r="B100" s="15" t="str">
        <v>C029</v>
      </c>
      <c r="C100" s="15" t="str">
        <v>Cap</v>
      </c>
      <c r="D100" s="15">
        <v>3</v>
      </c>
      <c r="E100" s="17" t="b">
        <v>1</v>
      </c>
      <c r="F100" s="15" t="str">
        <f t="shared" si="1"/>
        <v>Delivered</v>
      </c>
    </row>
    <row r="101" spans="1:6">
      <c r="A101" s="15" t="str">
        <v>ORD099</v>
      </c>
      <c r="B101" s="15" t="str">
        <v>C066</v>
      </c>
      <c r="C101" s="15" t="str">
        <v>Sandals</v>
      </c>
      <c r="D101" s="15">
        <v>3</v>
      </c>
      <c r="E101" s="17" t="b">
        <v>1</v>
      </c>
      <c r="F101" s="15" t="str">
        <f t="shared" si="1"/>
        <v>Delivered</v>
      </c>
    </row>
    <row r="102" spans="1:6">
      <c r="A102" s="15" t="str">
        <v>ORD100</v>
      </c>
      <c r="B102" s="15" t="str">
        <v>C071</v>
      </c>
      <c r="C102" s="15" t="str">
        <v>Hoodie</v>
      </c>
      <c r="D102" s="15">
        <v>3</v>
      </c>
      <c r="E102" s="17" t="b">
        <v>1</v>
      </c>
      <c r="F102" s="15" t="str">
        <f t="shared" si="1"/>
        <v>Delivered</v>
      </c>
    </row>
    <row r="103" spans="1:6">
      <c r="A103" s="15" t="str">
        <v>ORD101</v>
      </c>
      <c r="B103" s="15" t="str">
        <v>C011</v>
      </c>
      <c r="C103" s="15" t="str">
        <v>Cap</v>
      </c>
      <c r="D103" s="15">
        <v>4</v>
      </c>
      <c r="E103" s="17" t="b">
        <v>1</v>
      </c>
      <c r="F103" s="15" t="str">
        <f t="shared" si="1"/>
        <v>Delivered</v>
      </c>
    </row>
    <row r="104" spans="1:6">
      <c r="A104" s="15" t="str">
        <v>ORD102</v>
      </c>
      <c r="B104" s="15" t="str">
        <v>C020</v>
      </c>
      <c r="C104" s="15" t="str">
        <v>Sandals</v>
      </c>
      <c r="D104" s="15">
        <v>4</v>
      </c>
      <c r="E104" s="17" t="b">
        <v>1</v>
      </c>
      <c r="F104" s="15" t="str">
        <f t="shared" si="1"/>
        <v>Delivered</v>
      </c>
    </row>
    <row r="105" spans="1:6">
      <c r="A105" s="15" t="str">
        <v>ORD103</v>
      </c>
      <c r="B105" s="15" t="str">
        <v>C088</v>
      </c>
      <c r="C105" s="15" t="str">
        <v>Jeans</v>
      </c>
      <c r="D105" s="15">
        <v>1</v>
      </c>
      <c r="E105" s="17" t="b">
        <v>1</v>
      </c>
      <c r="F105" s="15" t="str">
        <f t="shared" si="1"/>
        <v>Delivered</v>
      </c>
    </row>
    <row r="106" spans="1:6">
      <c r="A106" s="15" t="str">
        <v>ORD104</v>
      </c>
      <c r="B106" s="15" t="str">
        <v>C066</v>
      </c>
      <c r="C106" s="15" t="str">
        <v>Cap</v>
      </c>
      <c r="D106" s="15">
        <v>3</v>
      </c>
      <c r="E106" s="17" t="b">
        <v>1</v>
      </c>
      <c r="F106" s="15" t="str">
        <f t="shared" si="1"/>
        <v>Delivered</v>
      </c>
    </row>
    <row r="107" spans="1:6">
      <c r="A107" s="15" t="str">
        <v>ORD105</v>
      </c>
      <c r="B107" s="15" t="str">
        <v>C012</v>
      </c>
      <c r="C107" s="15" t="str">
        <v>Cap</v>
      </c>
      <c r="D107" s="15">
        <v>1</v>
      </c>
      <c r="E107" s="17" t="b">
        <v>1</v>
      </c>
      <c r="F107" s="15" t="str">
        <f t="shared" si="1"/>
        <v>Delivered</v>
      </c>
    </row>
    <row r="108" spans="1:6">
      <c r="A108" s="15" t="str">
        <v>ORD106</v>
      </c>
      <c r="B108" s="15" t="str">
        <v>C117</v>
      </c>
      <c r="C108" s="15" t="str">
        <v>T-Shirt</v>
      </c>
      <c r="D108" s="15">
        <v>3</v>
      </c>
      <c r="E108" s="17" t="b">
        <v>1</v>
      </c>
      <c r="F108" s="15" t="str">
        <f t="shared" si="1"/>
        <v>Delivered</v>
      </c>
    </row>
    <row r="109" spans="1:6">
      <c r="A109" s="15" t="str">
        <v>ORD107</v>
      </c>
      <c r="B109" s="15" t="str">
        <v>C109</v>
      </c>
      <c r="C109" s="15" t="str">
        <v>Sandals</v>
      </c>
      <c r="D109" s="15">
        <v>1</v>
      </c>
      <c r="E109" s="17" t="b">
        <v>1</v>
      </c>
      <c r="F109" s="15" t="str">
        <f t="shared" si="1"/>
        <v>Delivered</v>
      </c>
    </row>
    <row r="110" spans="1:6">
      <c r="A110" s="15" t="str">
        <v>ORD108</v>
      </c>
      <c r="B110" s="15" t="str">
        <v>C117</v>
      </c>
      <c r="C110" s="15" t="str">
        <v>Sneakers</v>
      </c>
      <c r="D110" s="15">
        <v>4</v>
      </c>
      <c r="E110" s="17" t="b">
        <v>1</v>
      </c>
      <c r="F110" s="15" t="str">
        <f t="shared" si="1"/>
        <v>Delivered</v>
      </c>
    </row>
    <row r="111" spans="1:6">
      <c r="A111" s="15" t="str">
        <v>ORD109</v>
      </c>
      <c r="B111" s="15" t="str">
        <v>C016</v>
      </c>
      <c r="C111" s="15" t="str">
        <v>Jeans</v>
      </c>
      <c r="D111" s="15">
        <v>4</v>
      </c>
      <c r="E111" s="17" t="b">
        <v>1</v>
      </c>
      <c r="F111" s="15" t="str">
        <f t="shared" si="1"/>
        <v>Delivered</v>
      </c>
    </row>
    <row r="112" spans="1:6">
      <c r="A112" s="15" t="str">
        <v>ORD110</v>
      </c>
      <c r="B112" s="15" t="str">
        <v>C016</v>
      </c>
      <c r="C112" s="15" t="str">
        <v>Sandals</v>
      </c>
      <c r="D112" s="15">
        <v>4</v>
      </c>
      <c r="E112" s="17" t="b">
        <v>1</v>
      </c>
      <c r="F112" s="15" t="str">
        <f t="shared" si="1"/>
        <v>Delivered</v>
      </c>
    </row>
    <row r="113" spans="1:6">
      <c r="A113" s="15" t="str">
        <v>ORD111</v>
      </c>
      <c r="B113" s="15" t="str">
        <v>C096</v>
      </c>
      <c r="C113" s="15" t="str">
        <v>Hoodie</v>
      </c>
      <c r="D113" s="15">
        <v>2</v>
      </c>
      <c r="E113" s="17" t="b">
        <v>1</v>
      </c>
      <c r="F113" s="15" t="str">
        <f t="shared" si="1"/>
        <v>Delivered</v>
      </c>
    </row>
    <row r="114" spans="1:6">
      <c r="A114" s="15" t="str">
        <v>ORD112</v>
      </c>
      <c r="B114" s="15" t="str">
        <v>C003</v>
      </c>
      <c r="C114" s="15" t="str">
        <v>Jeans</v>
      </c>
      <c r="D114" s="15">
        <v>4</v>
      </c>
      <c r="E114" s="17" t="b">
        <v>1</v>
      </c>
      <c r="F114" s="15" t="str">
        <f t="shared" si="1"/>
        <v>Delivered</v>
      </c>
    </row>
    <row r="115" spans="1:6">
      <c r="A115" s="15" t="str">
        <v>ORD113</v>
      </c>
      <c r="B115" s="15" t="str">
        <v>C034</v>
      </c>
      <c r="C115" s="15" t="str">
        <v>Sandals</v>
      </c>
      <c r="D115" s="15">
        <v>2</v>
      </c>
      <c r="E115" s="17" t="b">
        <v>1</v>
      </c>
      <c r="F115" s="15" t="str">
        <f t="shared" si="1"/>
        <v>Delivered</v>
      </c>
    </row>
    <row r="116" spans="1:6">
      <c r="A116" s="15" t="str">
        <v>ORD114</v>
      </c>
      <c r="B116" s="15" t="str">
        <v>C026</v>
      </c>
      <c r="C116" s="15" t="str">
        <v>Hoodie</v>
      </c>
      <c r="D116" s="15">
        <v>2</v>
      </c>
      <c r="E116" s="17" t="b">
        <v>1</v>
      </c>
      <c r="F116" s="15" t="str">
        <f t="shared" si="1"/>
        <v>Delivered</v>
      </c>
    </row>
    <row r="117" spans="1:6">
      <c r="A117" s="15" t="str">
        <v>ORD115</v>
      </c>
      <c r="B117" s="15" t="str">
        <v>C088</v>
      </c>
      <c r="C117" s="15" t="str">
        <v>Sandals</v>
      </c>
      <c r="D117" s="15">
        <v>3</v>
      </c>
      <c r="E117" s="17" t="b">
        <v>1</v>
      </c>
      <c r="F117" s="15" t="str">
        <f t="shared" si="1"/>
        <v>Delivered</v>
      </c>
    </row>
    <row r="118" spans="1:6">
      <c r="A118" s="15" t="str">
        <v>ORD116</v>
      </c>
      <c r="B118" s="15" t="str">
        <v>C054</v>
      </c>
      <c r="C118" s="15" t="str">
        <v>Sandals</v>
      </c>
      <c r="D118" s="15">
        <v>3</v>
      </c>
      <c r="E118" s="17" t="b">
        <v>1</v>
      </c>
      <c r="F118" s="15" t="str">
        <f t="shared" si="1"/>
        <v>Delivered</v>
      </c>
    </row>
    <row r="119" spans="1:6">
      <c r="A119" s="15" t="str">
        <v>ORD117</v>
      </c>
      <c r="B119" s="15" t="str">
        <v>C037</v>
      </c>
      <c r="C119" s="15" t="str">
        <v>Sandals</v>
      </c>
      <c r="D119" s="15">
        <v>4</v>
      </c>
      <c r="E119" s="17" t="b">
        <v>1</v>
      </c>
      <c r="F119" s="15" t="str">
        <f t="shared" si="1"/>
        <v>Delivered</v>
      </c>
    </row>
    <row r="120" spans="1:6">
      <c r="A120" s="15" t="str">
        <v>ORD118</v>
      </c>
      <c r="B120" s="15" t="str">
        <v>C038</v>
      </c>
      <c r="C120" s="15" t="str">
        <v>T-Shirt</v>
      </c>
      <c r="D120" s="15">
        <v>1</v>
      </c>
      <c r="E120" s="17" t="b">
        <v>1</v>
      </c>
      <c r="F120" s="15" t="str">
        <f t="shared" si="1"/>
        <v>Delivered</v>
      </c>
    </row>
    <row r="121" spans="1:6">
      <c r="A121" s="15" t="str">
        <v>ORD119</v>
      </c>
      <c r="B121" s="15" t="str">
        <v>C065</v>
      </c>
      <c r="C121" s="15" t="str">
        <v>Cap</v>
      </c>
      <c r="D121" s="15">
        <v>2</v>
      </c>
      <c r="E121" s="17" t="b">
        <v>1</v>
      </c>
      <c r="F121" s="15" t="str">
        <f t="shared" si="1"/>
        <v>Delivered</v>
      </c>
    </row>
    <row r="122" spans="1:6">
      <c r="A122" s="15" t="str">
        <v>ORD120</v>
      </c>
      <c r="B122" s="15" t="str">
        <v>C087</v>
      </c>
      <c r="C122" s="15" t="str">
        <v>Hoodie</v>
      </c>
      <c r="D122" s="15">
        <v>4</v>
      </c>
      <c r="E122" s="17" t="b">
        <v>1</v>
      </c>
      <c r="F122" s="15" t="str">
        <f t="shared" si="1"/>
        <v>Delivered</v>
      </c>
    </row>
    <row r="123" spans="1:6">
      <c r="A123" s="15" t="str">
        <v>ORD121</v>
      </c>
      <c r="B123" s="15" t="str">
        <v>C057</v>
      </c>
      <c r="C123" s="15" t="str">
        <v>Hoodie</v>
      </c>
      <c r="D123" s="15">
        <v>1</v>
      </c>
      <c r="E123" s="17" t="b">
        <v>1</v>
      </c>
      <c r="F123" s="15" t="str">
        <f t="shared" si="1"/>
        <v>Delivered</v>
      </c>
    </row>
    <row r="124" spans="1:6">
      <c r="A124" s="15" t="str">
        <v>ORD122</v>
      </c>
      <c r="B124" s="15" t="str">
        <v>C052</v>
      </c>
      <c r="C124" s="15" t="str">
        <v>Hoodie</v>
      </c>
      <c r="D124" s="15">
        <v>3</v>
      </c>
      <c r="E124" s="17" t="b">
        <v>1</v>
      </c>
      <c r="F124" s="15" t="str">
        <f t="shared" si="1"/>
        <v>Delivered</v>
      </c>
    </row>
    <row r="125" spans="1:6">
      <c r="A125" s="15" t="str">
        <v>ORD123</v>
      </c>
      <c r="B125" s="15" t="str">
        <v>C083</v>
      </c>
      <c r="C125" s="15" t="str">
        <v>Cap</v>
      </c>
      <c r="D125" s="15">
        <v>4</v>
      </c>
      <c r="E125" s="17" t="b">
        <v>1</v>
      </c>
      <c r="F125" s="15" t="str">
        <f t="shared" si="1"/>
        <v>Delivered</v>
      </c>
    </row>
    <row r="126" spans="1:6">
      <c r="A126" s="15" t="str">
        <v>ORD124</v>
      </c>
      <c r="B126" s="15" t="str">
        <v>C082</v>
      </c>
      <c r="C126" s="15" t="str">
        <v>Jeans</v>
      </c>
      <c r="D126" s="15">
        <v>1</v>
      </c>
      <c r="E126" s="17" t="b">
        <v>1</v>
      </c>
      <c r="F126" s="15" t="str">
        <f t="shared" si="1"/>
        <v>Delivered</v>
      </c>
    </row>
    <row r="127" spans="1:6">
      <c r="A127" s="15" t="str">
        <v>ORD125</v>
      </c>
      <c r="B127" s="15" t="str">
        <v>C060</v>
      </c>
      <c r="C127" s="15" t="str">
        <v>Cap</v>
      </c>
      <c r="D127" s="15">
        <v>2</v>
      </c>
      <c r="E127" s="17" t="b">
        <v>1</v>
      </c>
      <c r="F127" s="15" t="str">
        <f t="shared" si="1"/>
        <v>Delivered</v>
      </c>
    </row>
    <row r="128" spans="1:6">
      <c r="A128" s="15" t="str">
        <v>ORD126</v>
      </c>
      <c r="B128" s="15" t="str">
        <v>C022</v>
      </c>
      <c r="C128" s="15" t="str">
        <v>Sneakers</v>
      </c>
      <c r="D128" s="15">
        <v>3</v>
      </c>
      <c r="E128" s="17" t="b">
        <v>1</v>
      </c>
      <c r="F128" s="15" t="str">
        <f t="shared" si="1"/>
        <v>Delivered</v>
      </c>
    </row>
    <row r="129" spans="1:6">
      <c r="A129" s="15" t="str">
        <v>ORD127</v>
      </c>
      <c r="B129" s="15" t="str">
        <v>C068</v>
      </c>
      <c r="C129" s="15" t="str">
        <v>Cap</v>
      </c>
      <c r="D129" s="15">
        <v>2</v>
      </c>
      <c r="E129" s="17" t="b">
        <v>1</v>
      </c>
      <c r="F129" s="15" t="str">
        <f t="shared" si="1"/>
        <v>Delivered</v>
      </c>
    </row>
    <row r="130" spans="1:6">
      <c r="A130" s="15" t="str">
        <v>ORD128</v>
      </c>
      <c r="B130" s="15" t="str">
        <v>C044</v>
      </c>
      <c r="C130" s="15" t="str">
        <v>Sneakers</v>
      </c>
      <c r="D130" s="15">
        <v>4</v>
      </c>
      <c r="E130" s="17" t="b">
        <v>1</v>
      </c>
      <c r="F130" s="15" t="str">
        <f t="shared" si="1"/>
        <v>Delivered</v>
      </c>
    </row>
    <row r="131" spans="1:6">
      <c r="A131" s="15" t="str">
        <v>ORD129</v>
      </c>
      <c r="B131" s="15" t="str">
        <v>C096</v>
      </c>
      <c r="C131" s="15" t="str">
        <v>Cap</v>
      </c>
      <c r="D131" s="15">
        <v>1</v>
      </c>
      <c r="E131" s="17" t="b">
        <v>1</v>
      </c>
      <c r="F131" s="15" t="str">
        <f t="shared" si="1"/>
        <v>Delivered</v>
      </c>
    </row>
    <row r="132" spans="1:6">
      <c r="A132" s="15" t="str">
        <v>ORD130</v>
      </c>
      <c r="B132" s="15" t="str">
        <v>C003</v>
      </c>
      <c r="C132" s="15" t="str">
        <v>Cap</v>
      </c>
      <c r="D132" s="15">
        <v>3</v>
      </c>
      <c r="E132" s="17" t="b">
        <v>1</v>
      </c>
      <c r="F132" s="15" t="str">
        <f t="shared" ref="F132:F195" si="2">IF(E132=TRUE,"Delivered","Pending")</f>
        <v>Delivered</v>
      </c>
    </row>
    <row r="133" spans="1:6">
      <c r="A133" s="15" t="str">
        <v>ORD131</v>
      </c>
      <c r="B133" s="15" t="str">
        <v>C100</v>
      </c>
      <c r="C133" s="15" t="str">
        <v>Cap</v>
      </c>
      <c r="D133" s="15">
        <v>2</v>
      </c>
      <c r="E133" s="17" t="b">
        <v>1</v>
      </c>
      <c r="F133" s="15" t="str">
        <f t="shared" si="2"/>
        <v>Delivered</v>
      </c>
    </row>
    <row r="134" spans="1:6">
      <c r="A134" s="15" t="str">
        <v>ORD132</v>
      </c>
      <c r="B134" s="15" t="str">
        <v>C100</v>
      </c>
      <c r="C134" s="15" t="str">
        <v>Jeans</v>
      </c>
      <c r="D134" s="15">
        <v>1</v>
      </c>
      <c r="E134" s="17" t="b">
        <v>1</v>
      </c>
      <c r="F134" s="15" t="str">
        <f t="shared" si="2"/>
        <v>Delivered</v>
      </c>
    </row>
    <row r="135" spans="1:6">
      <c r="A135" s="15" t="str">
        <v>ORD133</v>
      </c>
      <c r="B135" s="15" t="str">
        <v>C091</v>
      </c>
      <c r="C135" s="15" t="str">
        <v>Hoodie</v>
      </c>
      <c r="D135" s="15">
        <v>3</v>
      </c>
      <c r="E135" s="17" t="b">
        <v>1</v>
      </c>
      <c r="F135" s="15" t="str">
        <f t="shared" si="2"/>
        <v>Delivered</v>
      </c>
    </row>
    <row r="136" spans="1:6">
      <c r="A136" s="15" t="str">
        <v>ORD134</v>
      </c>
      <c r="B136" s="15" t="str">
        <v>C060</v>
      </c>
      <c r="C136" s="15" t="str">
        <v>Sandals</v>
      </c>
      <c r="D136" s="15">
        <v>3</v>
      </c>
      <c r="E136" s="17" t="b">
        <v>1</v>
      </c>
      <c r="F136" s="15" t="str">
        <f t="shared" si="2"/>
        <v>Delivered</v>
      </c>
    </row>
    <row r="137" spans="1:6">
      <c r="A137" s="15" t="str">
        <v>ORD135</v>
      </c>
      <c r="B137" s="15" t="str">
        <v>C006</v>
      </c>
      <c r="C137" s="15" t="str">
        <v>Jeans</v>
      </c>
      <c r="D137" s="15">
        <v>4</v>
      </c>
      <c r="E137" s="17" t="b">
        <v>1</v>
      </c>
      <c r="F137" s="15" t="str">
        <f t="shared" si="2"/>
        <v>Delivered</v>
      </c>
    </row>
    <row r="138" spans="1:6">
      <c r="A138" s="15" t="str">
        <v>ORD136</v>
      </c>
      <c r="B138" s="15" t="str">
        <v>C046</v>
      </c>
      <c r="C138" s="15" t="str">
        <v>T-Shirt</v>
      </c>
      <c r="D138" s="15">
        <v>4</v>
      </c>
      <c r="E138" s="17" t="b">
        <v>1</v>
      </c>
      <c r="F138" s="15" t="str">
        <f t="shared" si="2"/>
        <v>Delivered</v>
      </c>
    </row>
    <row r="139" spans="1:6">
      <c r="A139" s="15" t="str">
        <v>ORD137</v>
      </c>
      <c r="B139" s="15" t="str">
        <v>C065</v>
      </c>
      <c r="C139" s="15" t="str">
        <v>Sneakers</v>
      </c>
      <c r="D139" s="15">
        <v>1</v>
      </c>
      <c r="E139" s="17" t="b">
        <v>1</v>
      </c>
      <c r="F139" s="15" t="str">
        <f t="shared" si="2"/>
        <v>Delivered</v>
      </c>
    </row>
    <row r="140" spans="1:6">
      <c r="A140" s="15" t="str">
        <v>ORD138</v>
      </c>
      <c r="B140" s="15" t="str">
        <v>C082</v>
      </c>
      <c r="C140" s="15" t="str">
        <v>Cap</v>
      </c>
      <c r="D140" s="15">
        <v>1</v>
      </c>
      <c r="E140" s="17" t="b">
        <v>1</v>
      </c>
      <c r="F140" s="15" t="str">
        <f t="shared" si="2"/>
        <v>Delivered</v>
      </c>
    </row>
    <row r="141" spans="1:6">
      <c r="A141" s="15" t="str">
        <v>ORD139</v>
      </c>
      <c r="B141" s="15" t="str">
        <v>C068</v>
      </c>
      <c r="C141" s="15" t="str">
        <v>Sandals</v>
      </c>
      <c r="D141" s="15">
        <v>3</v>
      </c>
      <c r="E141" s="17" t="b">
        <v>1</v>
      </c>
      <c r="F141" s="15" t="str">
        <f t="shared" si="2"/>
        <v>Delivered</v>
      </c>
    </row>
    <row r="142" spans="1:6">
      <c r="A142" s="15" t="str">
        <v>ORD140</v>
      </c>
      <c r="B142" s="15" t="str">
        <v>C010</v>
      </c>
      <c r="C142" s="15" t="str">
        <v>Hoodie</v>
      </c>
      <c r="D142" s="15">
        <v>3</v>
      </c>
      <c r="E142" s="17" t="b">
        <v>1</v>
      </c>
      <c r="F142" s="15" t="str">
        <f t="shared" si="2"/>
        <v>Delivered</v>
      </c>
    </row>
    <row r="143" spans="1:6">
      <c r="A143" s="15" t="str">
        <v>ORD141</v>
      </c>
      <c r="B143" s="15" t="str">
        <v>C066</v>
      </c>
      <c r="C143" s="15" t="str">
        <v>Cap</v>
      </c>
      <c r="D143" s="15">
        <v>3</v>
      </c>
      <c r="E143" s="17" t="b">
        <v>1</v>
      </c>
      <c r="F143" s="15" t="str">
        <f t="shared" si="2"/>
        <v>Delivered</v>
      </c>
    </row>
    <row r="144" spans="1:6">
      <c r="A144" s="15" t="str">
        <v>ORD142</v>
      </c>
      <c r="B144" s="15" t="str">
        <v>C084</v>
      </c>
      <c r="C144" s="15" t="str">
        <v>T-Shirt</v>
      </c>
      <c r="D144" s="15">
        <v>2</v>
      </c>
      <c r="E144" s="17" t="b">
        <v>1</v>
      </c>
      <c r="F144" s="15" t="str">
        <f t="shared" si="2"/>
        <v>Delivered</v>
      </c>
    </row>
    <row r="145" spans="1:6">
      <c r="A145" s="15" t="str">
        <v>ORD143</v>
      </c>
      <c r="B145" s="15" t="str">
        <v>C079</v>
      </c>
      <c r="C145" s="15" t="str">
        <v>Sandals</v>
      </c>
      <c r="D145" s="15">
        <v>3</v>
      </c>
      <c r="E145" s="17" t="b">
        <v>1</v>
      </c>
      <c r="F145" s="15" t="str">
        <f t="shared" si="2"/>
        <v>Delivered</v>
      </c>
    </row>
    <row r="146" spans="1:6">
      <c r="A146" s="15" t="str">
        <v>ORD144</v>
      </c>
      <c r="B146" s="15" t="str">
        <v>C062</v>
      </c>
      <c r="C146" s="15" t="str">
        <v>Sneakers</v>
      </c>
      <c r="D146" s="15">
        <v>4</v>
      </c>
      <c r="E146" s="17" t="b">
        <v>1</v>
      </c>
      <c r="F146" s="15" t="str">
        <f t="shared" si="2"/>
        <v>Delivered</v>
      </c>
    </row>
    <row r="147" spans="1:6">
      <c r="A147" s="15" t="str">
        <v>ORD145</v>
      </c>
      <c r="B147" s="15" t="str">
        <v>C079</v>
      </c>
      <c r="C147" s="15" t="str">
        <v>Hoodie</v>
      </c>
      <c r="D147" s="15">
        <v>2</v>
      </c>
      <c r="E147" s="17" t="b">
        <v>1</v>
      </c>
      <c r="F147" s="15" t="str">
        <f t="shared" si="2"/>
        <v>Delivered</v>
      </c>
    </row>
    <row r="148" spans="1:6">
      <c r="A148" s="15" t="str">
        <v>ORD146</v>
      </c>
      <c r="B148" s="15" t="str">
        <v>C116</v>
      </c>
      <c r="C148" s="15" t="str">
        <v>Cap</v>
      </c>
      <c r="D148" s="15">
        <v>1</v>
      </c>
      <c r="E148" s="17" t="b">
        <v>1</v>
      </c>
      <c r="F148" s="15" t="str">
        <f t="shared" si="2"/>
        <v>Delivered</v>
      </c>
    </row>
    <row r="149" spans="1:6">
      <c r="A149" s="15" t="str">
        <v>ORD147</v>
      </c>
      <c r="B149" s="15" t="str">
        <v>C098</v>
      </c>
      <c r="C149" s="15" t="str">
        <v>Hoodie</v>
      </c>
      <c r="D149" s="15">
        <v>4</v>
      </c>
      <c r="E149" s="17" t="b">
        <v>1</v>
      </c>
      <c r="F149" s="15" t="str">
        <f t="shared" si="2"/>
        <v>Delivered</v>
      </c>
    </row>
    <row r="150" spans="1:6">
      <c r="A150" s="15" t="str">
        <v>ORD148</v>
      </c>
      <c r="B150" s="15" t="str">
        <v>C094</v>
      </c>
      <c r="C150" s="15" t="str">
        <v>Jeans</v>
      </c>
      <c r="D150" s="15">
        <v>1</v>
      </c>
      <c r="E150" s="17" t="b">
        <v>1</v>
      </c>
      <c r="F150" s="15" t="str">
        <f t="shared" si="2"/>
        <v>Delivered</v>
      </c>
    </row>
    <row r="151" spans="1:6">
      <c r="A151" s="15" t="str">
        <v>ORD149</v>
      </c>
      <c r="B151" s="15" t="str">
        <v>C034</v>
      </c>
      <c r="C151" s="15" t="str">
        <v>Sneakers</v>
      </c>
      <c r="D151" s="15">
        <v>2</v>
      </c>
      <c r="E151" s="17" t="b">
        <v>1</v>
      </c>
      <c r="F151" s="15" t="str">
        <f t="shared" si="2"/>
        <v>Delivered</v>
      </c>
    </row>
    <row r="152" spans="1:6">
      <c r="A152" s="15" t="str">
        <v>ORD150</v>
      </c>
      <c r="B152" s="15" t="str">
        <v>C018</v>
      </c>
      <c r="C152" s="15" t="str">
        <v>Jeans</v>
      </c>
      <c r="D152" s="15">
        <v>2</v>
      </c>
      <c r="E152" s="17" t="b">
        <v>1</v>
      </c>
      <c r="F152" s="15" t="str">
        <f t="shared" si="2"/>
        <v>Delivered</v>
      </c>
    </row>
    <row r="153" spans="1:6">
      <c r="A153" s="15" t="str">
        <v>ORD151</v>
      </c>
      <c r="B153" s="15" t="str">
        <v>C052</v>
      </c>
      <c r="C153" s="15" t="str">
        <v>Hoodie</v>
      </c>
      <c r="D153" s="15">
        <v>3</v>
      </c>
      <c r="E153" s="17" t="b">
        <v>1</v>
      </c>
      <c r="F153" s="15" t="str">
        <f t="shared" si="2"/>
        <v>Delivered</v>
      </c>
    </row>
    <row r="154" spans="1:6">
      <c r="A154" s="15" t="str">
        <v>ORD152</v>
      </c>
      <c r="B154" s="15" t="str">
        <v>C088</v>
      </c>
      <c r="C154" s="15" t="str">
        <v>Cap</v>
      </c>
      <c r="D154" s="15">
        <v>2</v>
      </c>
      <c r="E154" s="17" t="b">
        <v>1</v>
      </c>
      <c r="F154" s="15" t="str">
        <f t="shared" si="2"/>
        <v>Delivered</v>
      </c>
    </row>
    <row r="155" spans="1:6">
      <c r="A155" s="15" t="str">
        <v>ORD153</v>
      </c>
      <c r="B155" s="15" t="str">
        <v>C042</v>
      </c>
      <c r="C155" s="15" t="str">
        <v>T-Shirt</v>
      </c>
      <c r="D155" s="15">
        <v>2</v>
      </c>
      <c r="E155" s="17" t="b">
        <v>1</v>
      </c>
      <c r="F155" s="15" t="str">
        <f t="shared" si="2"/>
        <v>Delivered</v>
      </c>
    </row>
    <row r="156" spans="1:6">
      <c r="A156" s="15" t="str">
        <v>ORD154</v>
      </c>
      <c r="B156" s="15" t="str">
        <v>C104</v>
      </c>
      <c r="C156" s="15" t="str">
        <v>Jeans</v>
      </c>
      <c r="D156" s="15">
        <v>1</v>
      </c>
      <c r="E156" s="17" t="b">
        <v>1</v>
      </c>
      <c r="F156" s="15" t="str">
        <f t="shared" si="2"/>
        <v>Delivered</v>
      </c>
    </row>
    <row r="157" spans="1:6">
      <c r="A157" s="15" t="str">
        <v>ORD155</v>
      </c>
      <c r="B157" s="15" t="str">
        <v>C091</v>
      </c>
      <c r="C157" s="15" t="str">
        <v>Jeans</v>
      </c>
      <c r="D157" s="15">
        <v>1</v>
      </c>
      <c r="E157" s="17" t="b">
        <v>1</v>
      </c>
      <c r="F157" s="15" t="str">
        <f t="shared" si="2"/>
        <v>Delivered</v>
      </c>
    </row>
    <row r="158" spans="1:6">
      <c r="A158" s="15" t="str">
        <v>ORD156</v>
      </c>
      <c r="B158" s="15" t="str">
        <v>C085</v>
      </c>
      <c r="C158" s="15" t="str">
        <v>Sandals</v>
      </c>
      <c r="D158" s="15">
        <v>4</v>
      </c>
      <c r="E158" s="17" t="b">
        <v>1</v>
      </c>
      <c r="F158" s="15" t="str">
        <f t="shared" si="2"/>
        <v>Delivered</v>
      </c>
    </row>
    <row r="159" spans="1:6">
      <c r="A159" s="15" t="str">
        <v>ORD157</v>
      </c>
      <c r="B159" s="15" t="str">
        <v>C029</v>
      </c>
      <c r="C159" s="15" t="str">
        <v>Sandals</v>
      </c>
      <c r="D159" s="15">
        <v>2</v>
      </c>
      <c r="E159" s="17" t="b">
        <v>1</v>
      </c>
      <c r="F159" s="15" t="str">
        <f t="shared" si="2"/>
        <v>Delivered</v>
      </c>
    </row>
    <row r="160" spans="1:6">
      <c r="A160" s="15" t="str">
        <v>ORD158</v>
      </c>
      <c r="B160" s="15" t="str">
        <v>C097</v>
      </c>
      <c r="C160" s="15" t="str">
        <v>Sneakers</v>
      </c>
      <c r="D160" s="15">
        <v>4</v>
      </c>
      <c r="E160" s="17" t="b">
        <v>1</v>
      </c>
      <c r="F160" s="15" t="str">
        <f t="shared" si="2"/>
        <v>Delivered</v>
      </c>
    </row>
    <row r="161" spans="1:6">
      <c r="A161" s="15" t="str">
        <v>ORD159</v>
      </c>
      <c r="B161" s="15" t="str">
        <v>C071</v>
      </c>
      <c r="C161" s="15" t="str">
        <v>Jeans</v>
      </c>
      <c r="D161" s="15">
        <v>3</v>
      </c>
      <c r="E161" s="17" t="b">
        <v>1</v>
      </c>
      <c r="F161" s="15" t="str">
        <f t="shared" si="2"/>
        <v>Delivered</v>
      </c>
    </row>
    <row r="162" spans="1:6">
      <c r="A162" s="15" t="str">
        <v>ORD160</v>
      </c>
      <c r="B162" s="15" t="str">
        <v>C034</v>
      </c>
      <c r="C162" s="15" t="str">
        <v>Jeans</v>
      </c>
      <c r="D162" s="15">
        <v>4</v>
      </c>
      <c r="E162" s="17" t="b">
        <v>1</v>
      </c>
      <c r="F162" s="15" t="str">
        <f t="shared" si="2"/>
        <v>Delivered</v>
      </c>
    </row>
    <row r="163" spans="1:6">
      <c r="A163" s="15" t="str">
        <v>ORD161</v>
      </c>
      <c r="B163" s="15" t="str">
        <v>C028</v>
      </c>
      <c r="C163" s="15" t="str">
        <v>Sandals</v>
      </c>
      <c r="D163" s="15">
        <v>1</v>
      </c>
      <c r="E163" s="17" t="b">
        <v>1</v>
      </c>
      <c r="F163" s="15" t="str">
        <f t="shared" si="2"/>
        <v>Delivered</v>
      </c>
    </row>
    <row r="164" spans="1:6">
      <c r="A164" s="15" t="str">
        <v>ORD162</v>
      </c>
      <c r="B164" s="15" t="str">
        <v>C062</v>
      </c>
      <c r="C164" s="15" t="str">
        <v>T-Shirt</v>
      </c>
      <c r="D164" s="15">
        <v>1</v>
      </c>
      <c r="E164" s="17" t="b">
        <v>1</v>
      </c>
      <c r="F164" s="15" t="str">
        <f t="shared" si="2"/>
        <v>Delivered</v>
      </c>
    </row>
    <row r="165" spans="1:6">
      <c r="A165" s="15" t="str">
        <v>ORD163</v>
      </c>
      <c r="B165" s="15" t="str">
        <v>C026</v>
      </c>
      <c r="C165" s="15" t="str">
        <v>Sandals</v>
      </c>
      <c r="D165" s="15">
        <v>3</v>
      </c>
      <c r="E165" s="17" t="b">
        <v>1</v>
      </c>
      <c r="F165" s="15" t="str">
        <f t="shared" si="2"/>
        <v>Delivered</v>
      </c>
    </row>
    <row r="166" spans="1:6">
      <c r="A166" s="15" t="str">
        <v>ORD164</v>
      </c>
      <c r="B166" s="15" t="str">
        <v>C117</v>
      </c>
      <c r="C166" s="15" t="str">
        <v>Cap</v>
      </c>
      <c r="D166" s="15">
        <v>2</v>
      </c>
      <c r="E166" s="17" t="b">
        <v>1</v>
      </c>
      <c r="F166" s="15" t="str">
        <f t="shared" si="2"/>
        <v>Delivered</v>
      </c>
    </row>
    <row r="167" spans="1:6">
      <c r="A167" s="15" t="str">
        <v>ORD165</v>
      </c>
      <c r="B167" s="15" t="str">
        <v>C086</v>
      </c>
      <c r="C167" s="15" t="str">
        <v>Sneakers</v>
      </c>
      <c r="D167" s="15">
        <v>2</v>
      </c>
      <c r="E167" s="17" t="b">
        <v>1</v>
      </c>
      <c r="F167" s="15" t="str">
        <f t="shared" si="2"/>
        <v>Delivered</v>
      </c>
    </row>
    <row r="168" spans="1:6">
      <c r="A168" s="15" t="str">
        <v>ORD166</v>
      </c>
      <c r="B168" s="15" t="str">
        <v>C017</v>
      </c>
      <c r="C168" s="15" t="str">
        <v>Sandals</v>
      </c>
      <c r="D168" s="15">
        <v>4</v>
      </c>
      <c r="E168" s="17" t="b">
        <v>1</v>
      </c>
      <c r="F168" s="15" t="str">
        <f t="shared" si="2"/>
        <v>Delivered</v>
      </c>
    </row>
    <row r="169" spans="1:6">
      <c r="A169" s="15" t="str">
        <v>ORD167</v>
      </c>
      <c r="B169" s="15" t="str">
        <v>C002</v>
      </c>
      <c r="C169" s="15" t="str">
        <v>Cap</v>
      </c>
      <c r="D169" s="15">
        <v>3</v>
      </c>
      <c r="E169" s="17" t="b">
        <v>1</v>
      </c>
      <c r="F169" s="15" t="str">
        <f t="shared" si="2"/>
        <v>Delivered</v>
      </c>
    </row>
    <row r="170" spans="1:6">
      <c r="A170" s="15" t="str">
        <v>ORD168</v>
      </c>
      <c r="B170" s="15" t="str">
        <v>C120</v>
      </c>
      <c r="C170" s="15" t="str">
        <v>T-Shirt</v>
      </c>
      <c r="D170" s="15">
        <v>2</v>
      </c>
      <c r="E170" s="17" t="b">
        <v>1</v>
      </c>
      <c r="F170" s="15" t="str">
        <f t="shared" si="2"/>
        <v>Delivered</v>
      </c>
    </row>
    <row r="171" spans="1:6">
      <c r="A171" s="15" t="str">
        <v>ORD169</v>
      </c>
      <c r="B171" s="15" t="str">
        <v>C004</v>
      </c>
      <c r="C171" s="15" t="str">
        <v>Sneakers</v>
      </c>
      <c r="D171" s="15">
        <v>1</v>
      </c>
      <c r="E171" s="17" t="b">
        <v>1</v>
      </c>
      <c r="F171" s="15" t="str">
        <f t="shared" si="2"/>
        <v>Delivered</v>
      </c>
    </row>
    <row r="172" spans="1:6">
      <c r="A172" s="15" t="str">
        <v>ORD170</v>
      </c>
      <c r="B172" s="15" t="str">
        <v>C105</v>
      </c>
      <c r="C172" s="15" t="str">
        <v>Jeans</v>
      </c>
      <c r="D172" s="15">
        <v>3</v>
      </c>
      <c r="E172" s="17" t="b">
        <v>1</v>
      </c>
      <c r="F172" s="15" t="str">
        <f t="shared" si="2"/>
        <v>Delivered</v>
      </c>
    </row>
    <row r="173" spans="1:6">
      <c r="A173" s="15" t="str">
        <v>ORD171</v>
      </c>
      <c r="B173" s="15" t="str">
        <v>C081</v>
      </c>
      <c r="C173" s="15" t="str">
        <v>Sneakers</v>
      </c>
      <c r="D173" s="15">
        <v>4</v>
      </c>
      <c r="E173" s="17" t="b">
        <v>1</v>
      </c>
      <c r="F173" s="15" t="str">
        <f t="shared" si="2"/>
        <v>Delivered</v>
      </c>
    </row>
    <row r="174" spans="1:6">
      <c r="A174" s="15" t="str">
        <v>ORD172</v>
      </c>
      <c r="B174" s="15" t="str">
        <v>C008</v>
      </c>
      <c r="C174" s="15" t="str">
        <v>Cap</v>
      </c>
      <c r="D174" s="15">
        <v>2</v>
      </c>
      <c r="E174" s="17" t="b">
        <v>1</v>
      </c>
      <c r="F174" s="15" t="str">
        <f t="shared" si="2"/>
        <v>Delivered</v>
      </c>
    </row>
    <row r="175" spans="1:6">
      <c r="A175" s="15" t="str">
        <v>ORD173</v>
      </c>
      <c r="B175" s="15" t="str">
        <v>C078</v>
      </c>
      <c r="C175" s="15" t="str">
        <v>Jeans</v>
      </c>
      <c r="D175" s="15">
        <v>3</v>
      </c>
      <c r="E175" s="17" t="b">
        <v>1</v>
      </c>
      <c r="F175" s="15" t="str">
        <f t="shared" si="2"/>
        <v>Delivered</v>
      </c>
    </row>
    <row r="176" spans="1:6">
      <c r="A176" s="15" t="str">
        <v>ORD174</v>
      </c>
      <c r="B176" s="15" t="str">
        <v>C046</v>
      </c>
      <c r="C176" s="15" t="str">
        <v>Cap</v>
      </c>
      <c r="D176" s="15">
        <v>1</v>
      </c>
      <c r="E176" s="17" t="b">
        <v>1</v>
      </c>
      <c r="F176" s="15" t="str">
        <f t="shared" si="2"/>
        <v>Delivered</v>
      </c>
    </row>
    <row r="177" spans="1:6">
      <c r="A177" s="15" t="str">
        <v>ORD175</v>
      </c>
      <c r="B177" s="15" t="str">
        <v>C113</v>
      </c>
      <c r="C177" s="15" t="str">
        <v>Sandals</v>
      </c>
      <c r="D177" s="15">
        <v>2</v>
      </c>
      <c r="E177" s="17" t="b">
        <v>1</v>
      </c>
      <c r="F177" s="15" t="str">
        <f t="shared" si="2"/>
        <v>Delivered</v>
      </c>
    </row>
    <row r="178" spans="1:6">
      <c r="A178" s="15" t="str">
        <v>ORD176</v>
      </c>
      <c r="B178" s="15" t="str">
        <v>C035</v>
      </c>
      <c r="C178" s="15" t="str">
        <v>Cap</v>
      </c>
      <c r="D178" s="15">
        <v>1</v>
      </c>
      <c r="E178" s="17" t="b">
        <v>1</v>
      </c>
      <c r="F178" s="15" t="str">
        <f t="shared" si="2"/>
        <v>Delivered</v>
      </c>
    </row>
    <row r="179" spans="1:6">
      <c r="A179" s="15" t="str">
        <v>ORD177</v>
      </c>
      <c r="B179" s="15" t="str">
        <v>C023</v>
      </c>
      <c r="C179" s="15" t="str">
        <v>Cap</v>
      </c>
      <c r="D179" s="15">
        <v>1</v>
      </c>
      <c r="E179" s="17" t="b">
        <v>1</v>
      </c>
      <c r="F179" s="15" t="str">
        <f t="shared" si="2"/>
        <v>Delivered</v>
      </c>
    </row>
    <row r="180" spans="1:6">
      <c r="A180" s="15" t="str">
        <v>ORD178</v>
      </c>
      <c r="B180" s="15" t="str">
        <v>C055</v>
      </c>
      <c r="C180" s="15" t="str">
        <v>T-Shirt</v>
      </c>
      <c r="D180" s="15">
        <v>2</v>
      </c>
      <c r="E180" s="17" t="b">
        <v>1</v>
      </c>
      <c r="F180" s="15" t="str">
        <f t="shared" si="2"/>
        <v>Delivered</v>
      </c>
    </row>
    <row r="181" spans="1:6">
      <c r="A181" s="15" t="str">
        <v>ORD179</v>
      </c>
      <c r="B181" s="15" t="str">
        <v>C105</v>
      </c>
      <c r="C181" s="15" t="str">
        <v>Cap</v>
      </c>
      <c r="D181" s="15">
        <v>1</v>
      </c>
      <c r="E181" s="17" t="b">
        <v>1</v>
      </c>
      <c r="F181" s="15" t="str">
        <f t="shared" si="2"/>
        <v>Delivered</v>
      </c>
    </row>
    <row r="182" spans="1:6">
      <c r="A182" s="15" t="str">
        <v>ORD180</v>
      </c>
      <c r="B182" s="15" t="str">
        <v>C041</v>
      </c>
      <c r="C182" s="15" t="str">
        <v>Sandals</v>
      </c>
      <c r="D182" s="15">
        <v>3</v>
      </c>
      <c r="E182" s="17" t="b">
        <v>1</v>
      </c>
      <c r="F182" s="15" t="str">
        <f t="shared" si="2"/>
        <v>Delivered</v>
      </c>
    </row>
    <row r="183" spans="1:6">
      <c r="A183" s="15" t="str">
        <v>ORD181</v>
      </c>
      <c r="B183" s="15" t="str">
        <v>C086</v>
      </c>
      <c r="C183" s="15" t="str">
        <v>Sandals</v>
      </c>
      <c r="D183" s="15">
        <v>1</v>
      </c>
      <c r="E183" s="17" t="b">
        <v>1</v>
      </c>
      <c r="F183" s="15" t="str">
        <f t="shared" si="2"/>
        <v>Delivered</v>
      </c>
    </row>
    <row r="184" spans="1:6">
      <c r="A184" s="15" t="str">
        <v>ORD182</v>
      </c>
      <c r="B184" s="15" t="str">
        <v>C095</v>
      </c>
      <c r="C184" s="15" t="str">
        <v>Cap</v>
      </c>
      <c r="D184" s="15">
        <v>4</v>
      </c>
      <c r="E184" s="17" t="b">
        <v>1</v>
      </c>
      <c r="F184" s="15" t="str">
        <f t="shared" si="2"/>
        <v>Delivered</v>
      </c>
    </row>
    <row r="185" spans="1:6">
      <c r="A185" s="15" t="str">
        <v>ORD183</v>
      </c>
      <c r="B185" s="15" t="str">
        <v>C042</v>
      </c>
      <c r="C185" s="15" t="str">
        <v>T-Shirt</v>
      </c>
      <c r="D185" s="15">
        <v>3</v>
      </c>
      <c r="E185" s="17" t="b">
        <v>1</v>
      </c>
      <c r="F185" s="15" t="str">
        <f t="shared" si="2"/>
        <v>Delivered</v>
      </c>
    </row>
    <row r="186" spans="1:6">
      <c r="A186" s="15" t="str">
        <v>ORD184</v>
      </c>
      <c r="B186" s="15" t="str">
        <v>C094</v>
      </c>
      <c r="C186" s="15" t="str">
        <v>T-Shirt</v>
      </c>
      <c r="D186" s="15">
        <v>4</v>
      </c>
      <c r="E186" s="17" t="b">
        <v>1</v>
      </c>
      <c r="F186" s="15" t="str">
        <f t="shared" si="2"/>
        <v>Delivered</v>
      </c>
    </row>
    <row r="187" spans="1:6">
      <c r="A187" s="15" t="str">
        <v>ORD185</v>
      </c>
      <c r="B187" s="15" t="str">
        <v>C102</v>
      </c>
      <c r="C187" s="15" t="str">
        <v>Cap</v>
      </c>
      <c r="D187" s="15">
        <v>2</v>
      </c>
      <c r="E187" s="17" t="b">
        <v>1</v>
      </c>
      <c r="F187" s="15" t="str">
        <f t="shared" si="2"/>
        <v>Delivered</v>
      </c>
    </row>
    <row r="188" spans="1:6">
      <c r="A188" s="15" t="str">
        <v>ORD186</v>
      </c>
      <c r="B188" s="15" t="str">
        <v>C055</v>
      </c>
      <c r="C188" s="15" t="str">
        <v>Cap</v>
      </c>
      <c r="D188" s="15">
        <v>3</v>
      </c>
      <c r="E188" s="17" t="b">
        <v>1</v>
      </c>
      <c r="F188" s="15" t="str">
        <f t="shared" si="2"/>
        <v>Delivered</v>
      </c>
    </row>
    <row r="189" spans="1:6">
      <c r="A189" s="15" t="str">
        <v>ORD187</v>
      </c>
      <c r="B189" s="15" t="str">
        <v>C119</v>
      </c>
      <c r="C189" s="15" t="str">
        <v>Sandals</v>
      </c>
      <c r="D189" s="15">
        <v>2</v>
      </c>
      <c r="E189" s="17" t="b">
        <v>1</v>
      </c>
      <c r="F189" s="15" t="str">
        <f t="shared" si="2"/>
        <v>Delivered</v>
      </c>
    </row>
    <row r="190" spans="1:6">
      <c r="A190" s="15" t="str">
        <v>ORD188</v>
      </c>
      <c r="B190" s="15" t="str">
        <v>C017</v>
      </c>
      <c r="C190" s="15" t="str">
        <v>Sneakers</v>
      </c>
      <c r="D190" s="15">
        <v>4</v>
      </c>
      <c r="E190" s="17" t="b">
        <v>0</v>
      </c>
      <c r="F190" s="15" t="str">
        <f t="shared" si="2"/>
        <v>Pending</v>
      </c>
    </row>
    <row r="191" spans="1:6">
      <c r="A191" s="15" t="str">
        <v>ORD189</v>
      </c>
      <c r="B191" s="15" t="str">
        <v>C107</v>
      </c>
      <c r="C191" s="15" t="str">
        <v>Sandals</v>
      </c>
      <c r="D191" s="15">
        <v>1</v>
      </c>
      <c r="E191" s="17" t="b">
        <v>0</v>
      </c>
      <c r="F191" s="15" t="str">
        <f t="shared" si="2"/>
        <v>Pending</v>
      </c>
    </row>
    <row r="192" spans="1:6">
      <c r="A192" s="15" t="str">
        <v>ORD190</v>
      </c>
      <c r="B192" s="15" t="str">
        <v>C050</v>
      </c>
      <c r="C192" s="15" t="str">
        <v>Jeans</v>
      </c>
      <c r="D192" s="15">
        <v>2</v>
      </c>
      <c r="E192" s="17" t="b">
        <v>0</v>
      </c>
      <c r="F192" s="15" t="str">
        <f t="shared" si="2"/>
        <v>Pending</v>
      </c>
    </row>
    <row r="193" spans="1:6">
      <c r="A193" s="15" t="str">
        <v>ORD191</v>
      </c>
      <c r="B193" s="15" t="str">
        <v>C017</v>
      </c>
      <c r="C193" s="15" t="str">
        <v>T-Shirt</v>
      </c>
      <c r="D193" s="15">
        <v>4</v>
      </c>
      <c r="E193" s="17" t="b">
        <v>0</v>
      </c>
      <c r="F193" s="15" t="str">
        <f t="shared" si="2"/>
        <v>Pending</v>
      </c>
    </row>
    <row r="194" spans="1:6">
      <c r="A194" s="15" t="str">
        <v>ORD192</v>
      </c>
      <c r="B194" s="15" t="str">
        <v>C103</v>
      </c>
      <c r="C194" s="15" t="str">
        <v>T-Shirt</v>
      </c>
      <c r="D194" s="15">
        <v>3</v>
      </c>
      <c r="E194" s="17" t="b">
        <v>1</v>
      </c>
      <c r="F194" s="15" t="str">
        <f t="shared" si="2"/>
        <v>Delivered</v>
      </c>
    </row>
    <row r="195" spans="1:6">
      <c r="A195" s="15" t="str">
        <v>ORD193</v>
      </c>
      <c r="B195" s="15" t="str">
        <v>C041</v>
      </c>
      <c r="C195" s="15" t="str">
        <v>Hoodie</v>
      </c>
      <c r="D195" s="15">
        <v>4</v>
      </c>
      <c r="E195" s="17" t="b">
        <v>0</v>
      </c>
      <c r="F195" s="15" t="str">
        <f t="shared" si="2"/>
        <v>Pending</v>
      </c>
    </row>
    <row r="196" spans="1:6">
      <c r="A196" s="15" t="str">
        <v>ORD194</v>
      </c>
      <c r="B196" s="15" t="str">
        <v>C016</v>
      </c>
      <c r="C196" s="15" t="str">
        <v>Hoodie</v>
      </c>
      <c r="D196" s="15">
        <v>1</v>
      </c>
      <c r="E196" s="17" t="b">
        <v>0</v>
      </c>
      <c r="F196" s="15" t="str">
        <f t="shared" ref="F196:F202" si="3">IF(E196=TRUE,"Delivered","Pending")</f>
        <v>Pending</v>
      </c>
    </row>
    <row r="197" spans="1:6">
      <c r="A197" s="15" t="str">
        <v>ORD195</v>
      </c>
      <c r="B197" s="15" t="str">
        <v>C042</v>
      </c>
      <c r="C197" s="15" t="str">
        <v>Cap</v>
      </c>
      <c r="D197" s="15">
        <v>3</v>
      </c>
      <c r="E197" s="17" t="b">
        <v>1</v>
      </c>
      <c r="F197" s="15" t="str">
        <f t="shared" si="3"/>
        <v>Delivered</v>
      </c>
    </row>
    <row r="198" spans="1:6">
      <c r="A198" s="15" t="str">
        <v>ORD196</v>
      </c>
      <c r="B198" s="15" t="str">
        <v>C059</v>
      </c>
      <c r="C198" s="15" t="str">
        <v>Sneakers</v>
      </c>
      <c r="D198" s="15">
        <v>3</v>
      </c>
      <c r="E198" s="17" t="b">
        <v>0</v>
      </c>
      <c r="F198" s="15" t="str">
        <f t="shared" si="3"/>
        <v>Pending</v>
      </c>
    </row>
    <row r="199" spans="1:6">
      <c r="A199" s="15" t="str">
        <v>ORD197</v>
      </c>
      <c r="B199" s="15" t="str">
        <v>C075</v>
      </c>
      <c r="C199" s="15" t="str">
        <v>Sneakers</v>
      </c>
      <c r="D199" s="15">
        <v>1</v>
      </c>
      <c r="E199" s="17" t="b">
        <v>0</v>
      </c>
      <c r="F199" s="15" t="str">
        <f t="shared" si="3"/>
        <v>Pending</v>
      </c>
    </row>
    <row r="200" spans="1:6">
      <c r="A200" s="15" t="str">
        <v>ORD198</v>
      </c>
      <c r="B200" s="15" t="str">
        <v>C110</v>
      </c>
      <c r="C200" s="15" t="str">
        <v>T-Shirt</v>
      </c>
      <c r="D200" s="15">
        <v>4</v>
      </c>
      <c r="E200" s="17" t="b">
        <v>0</v>
      </c>
      <c r="F200" s="15" t="str">
        <f t="shared" si="3"/>
        <v>Pending</v>
      </c>
    </row>
    <row r="201" spans="1:6">
      <c r="A201" s="15" t="str">
        <v>ORD199</v>
      </c>
      <c r="B201" s="15" t="str">
        <v>C103</v>
      </c>
      <c r="C201" s="15" t="str">
        <v>Cap</v>
      </c>
      <c r="D201" s="15">
        <v>3</v>
      </c>
      <c r="E201" s="17" t="b">
        <v>1</v>
      </c>
      <c r="F201" s="15" t="str">
        <f t="shared" si="3"/>
        <v>Delivered</v>
      </c>
    </row>
    <row r="202" spans="1:6">
      <c r="A202" s="15" t="str">
        <v>ORD200</v>
      </c>
      <c r="B202" s="15" t="str">
        <v>C077</v>
      </c>
      <c r="C202" s="15" t="str">
        <v>Sneakers</v>
      </c>
      <c r="D202" s="15">
        <v>3</v>
      </c>
      <c r="E202" s="17" t="b">
        <v>0</v>
      </c>
      <c r="F202" s="15" t="str">
        <f t="shared" si="3"/>
        <v>Pending</v>
      </c>
    </row>
  </sheetData>
  <mergeCells count="1">
    <mergeCell ref="A1:F1"/>
  </mergeCells>
  <conditionalFormatting sqref="F3:F202">
    <cfRule type="cellIs" dxfId="3" priority="1" operator="equal">
      <formula>"Pending"</formula>
    </cfRule>
    <cfRule type="cellIs" dxfId="2" priority="2" operator="equal">
      <formula>"Delivered"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97D6-4AB7-4E77-A9D5-04A29D0D6C33}">
  <dimension ref="A1:K10"/>
  <sheetViews>
    <sheetView workbookViewId="0">
      <selection activeCell="D3" sqref="D3"/>
    </sheetView>
  </sheetViews>
  <sheetFormatPr defaultRowHeight="15"/>
  <cols>
    <col min="1" max="1" width="25.42578125" bestFit="1" customWidth="1"/>
    <col min="2" max="2" width="10.85546875" bestFit="1" customWidth="1"/>
    <col min="3" max="3" width="13.7109375" bestFit="1" customWidth="1"/>
    <col min="4" max="4" width="12.7109375" bestFit="1" customWidth="1"/>
    <col min="5" max="5" width="14" bestFit="1" customWidth="1"/>
    <col min="6" max="6" width="11.42578125" bestFit="1" customWidth="1"/>
    <col min="8" max="8" width="14" hidden="1" customWidth="1"/>
    <col min="9" max="9" width="12.5703125" hidden="1" customWidth="1"/>
    <col min="10" max="10" width="15.28515625" hidden="1" customWidth="1"/>
    <col min="11" max="11" width="15.42578125" hidden="1" customWidth="1"/>
  </cols>
  <sheetData>
    <row r="1" spans="1:11" ht="26.25">
      <c r="A1" s="61" t="s">
        <v>386</v>
      </c>
      <c r="B1" s="61"/>
      <c r="C1" s="61"/>
      <c r="D1" s="61"/>
      <c r="E1" s="61"/>
      <c r="F1" s="61"/>
    </row>
    <row r="2" spans="1:11">
      <c r="A2" s="19" t="s">
        <v>4</v>
      </c>
      <c r="B2" s="19" t="s">
        <v>5</v>
      </c>
      <c r="C2" s="19" t="s">
        <v>387</v>
      </c>
      <c r="D2" s="19" t="s">
        <v>388</v>
      </c>
      <c r="E2" s="19" t="s">
        <v>389</v>
      </c>
      <c r="F2" s="19" t="s">
        <v>390</v>
      </c>
    </row>
    <row r="3" spans="1:11">
      <c r="A3" s="20" t="s">
        <v>55</v>
      </c>
      <c r="B3" s="20" t="s">
        <v>56</v>
      </c>
      <c r="C3" s="15">
        <v>200</v>
      </c>
      <c r="D3" s="21">
        <f>GETPIVOTDATA("Quantity", Inventory_Tracking!$H$6, "Product", A3)</f>
        <v>98</v>
      </c>
      <c r="E3" s="15">
        <f>C3-D3</f>
        <v>102</v>
      </c>
      <c r="F3" s="15" t="str">
        <f>IF(E3&lt;=10,"Low Stock","In Stock")</f>
        <v>In Stock</v>
      </c>
    </row>
    <row r="4" spans="1:11">
      <c r="A4" s="20" t="s">
        <v>107</v>
      </c>
      <c r="B4" s="20" t="s">
        <v>17</v>
      </c>
      <c r="C4" s="15">
        <v>120</v>
      </c>
      <c r="D4" s="21">
        <f>GETPIVOTDATA("Quantity", Inventory_Tracking!$H$6, "Product", A4)</f>
        <v>71</v>
      </c>
      <c r="E4" s="15">
        <f t="shared" ref="E4:E8" si="0">C4-D4</f>
        <v>49</v>
      </c>
      <c r="F4" s="15" t="str">
        <f t="shared" ref="F4:F8" si="1">IF(E4&lt;=10,"Low Stock","In Stock")</f>
        <v>In Stock</v>
      </c>
      <c r="H4" s="10" t="s">
        <v>362</v>
      </c>
      <c r="I4" t="s">
        <v>391</v>
      </c>
      <c r="J4" t="s">
        <v>363</v>
      </c>
      <c r="K4" t="s">
        <v>392</v>
      </c>
    </row>
    <row r="5" spans="1:11">
      <c r="A5" s="20" t="s">
        <v>16</v>
      </c>
      <c r="B5" s="20" t="s">
        <v>17</v>
      </c>
      <c r="C5" s="15">
        <v>150</v>
      </c>
      <c r="D5" s="21">
        <f>GETPIVOTDATA("Quantity", Inventory_Tracking!$H$6, "Product", A5)</f>
        <v>82</v>
      </c>
      <c r="E5" s="15">
        <f t="shared" si="0"/>
        <v>68</v>
      </c>
      <c r="F5" s="15" t="str">
        <f t="shared" si="1"/>
        <v>In Stock</v>
      </c>
      <c r="H5" s="11" t="s">
        <v>55</v>
      </c>
      <c r="I5" s="3">
        <v>39200</v>
      </c>
      <c r="J5" s="3">
        <v>78400</v>
      </c>
      <c r="K5" s="2">
        <v>98</v>
      </c>
    </row>
    <row r="6" spans="1:11">
      <c r="A6" s="20" t="s">
        <v>41</v>
      </c>
      <c r="B6" s="20" t="s">
        <v>24</v>
      </c>
      <c r="C6" s="15">
        <v>100</v>
      </c>
      <c r="D6" s="21">
        <f>GETPIVOTDATA("Quantity", Inventory_Tracking!$H$6, "Product", A6)</f>
        <v>99</v>
      </c>
      <c r="E6" s="15">
        <f t="shared" si="0"/>
        <v>1</v>
      </c>
      <c r="F6" s="15" t="str">
        <f t="shared" si="1"/>
        <v>Low Stock</v>
      </c>
      <c r="H6" s="11" t="s">
        <v>107</v>
      </c>
      <c r="I6" s="3">
        <v>56800</v>
      </c>
      <c r="J6" s="3">
        <v>213000</v>
      </c>
      <c r="K6" s="2">
        <v>71</v>
      </c>
    </row>
    <row r="7" spans="1:11">
      <c r="A7" s="20" t="s">
        <v>23</v>
      </c>
      <c r="B7" s="20" t="s">
        <v>24</v>
      </c>
      <c r="C7" s="15">
        <v>300</v>
      </c>
      <c r="D7" s="21">
        <f>GETPIVOTDATA("Quantity", Inventory_Tracking!$H$6, "Product", A7)</f>
        <v>82</v>
      </c>
      <c r="E7" s="15">
        <f t="shared" si="0"/>
        <v>218</v>
      </c>
      <c r="F7" s="15" t="str">
        <f t="shared" si="1"/>
        <v>In Stock</v>
      </c>
      <c r="H7" s="11" t="s">
        <v>16</v>
      </c>
      <c r="I7" s="3">
        <v>57400</v>
      </c>
      <c r="J7" s="3">
        <v>205000</v>
      </c>
      <c r="K7" s="2">
        <v>82</v>
      </c>
    </row>
    <row r="8" spans="1:11">
      <c r="A8" s="20" t="s">
        <v>29</v>
      </c>
      <c r="B8" s="20" t="s">
        <v>17</v>
      </c>
      <c r="C8" s="15">
        <v>100</v>
      </c>
      <c r="D8" s="21">
        <f>GETPIVOTDATA("Quantity", Inventory_Tracking!$H$6, "Product", A8)</f>
        <v>79</v>
      </c>
      <c r="E8" s="15">
        <f t="shared" si="0"/>
        <v>21</v>
      </c>
      <c r="F8" s="15" t="str">
        <f t="shared" si="1"/>
        <v>In Stock</v>
      </c>
      <c r="H8" s="11" t="s">
        <v>41</v>
      </c>
      <c r="I8" s="3">
        <v>59400</v>
      </c>
      <c r="J8" s="3">
        <v>178200</v>
      </c>
      <c r="K8" s="2">
        <v>99</v>
      </c>
    </row>
    <row r="9" spans="1:11">
      <c r="H9" s="11" t="s">
        <v>23</v>
      </c>
      <c r="I9" s="3">
        <v>82000</v>
      </c>
      <c r="J9" s="3">
        <v>328000</v>
      </c>
      <c r="K9" s="2">
        <v>82</v>
      </c>
    </row>
    <row r="10" spans="1:11">
      <c r="H10" s="11" t="s">
        <v>29</v>
      </c>
      <c r="I10" s="3">
        <v>31600</v>
      </c>
      <c r="J10" s="3">
        <v>94800</v>
      </c>
      <c r="K10" s="2">
        <v>79</v>
      </c>
    </row>
  </sheetData>
  <mergeCells count="1">
    <mergeCell ref="A1:F1"/>
  </mergeCells>
  <conditionalFormatting sqref="F3:F8">
    <cfRule type="cellIs" dxfId="1" priority="3" operator="equal">
      <formula>"Low Stock"</formula>
    </cfRule>
    <cfRule type="cellIs" dxfId="0" priority="4" operator="equal">
      <formula>"In Stock"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subhan sohail</cp:lastModifiedBy>
  <cp:revision/>
  <dcterms:created xsi:type="dcterms:W3CDTF">2026-01-22T12:08:55Z</dcterms:created>
  <dcterms:modified xsi:type="dcterms:W3CDTF">2026-01-27T13:29:01Z</dcterms:modified>
  <cp:category/>
  <cp:contentStatus/>
</cp:coreProperties>
</file>