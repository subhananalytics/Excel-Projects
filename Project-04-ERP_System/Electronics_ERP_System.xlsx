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s" sheetId="1" state="visible" r:id="rId3"/>
    <sheet name="Suppliers" sheetId="2" state="visible" r:id="rId4"/>
    <sheet name="Dashboard" sheetId="3" state="visible" r:id="rId5"/>
    <sheet name="Customers" sheetId="4" state="visible" r:id="rId6"/>
    <sheet name="Purchases" sheetId="5" state="visible" r:id="rId7"/>
    <sheet name="Sales" sheetId="6" state="visible" r:id="rId8"/>
    <sheet name="Inventory" sheetId="7" state="visible" r:id="rId9"/>
    <sheet name="Expenses" sheetId="8" state="visible" r:id="rId10"/>
    <sheet name="Receivables" sheetId="9" state="visible" r:id="rId11"/>
    <sheet name="Payables" sheetId="10" state="visible" r:id="rId12"/>
    <sheet name="Profit Analysis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<sst xmlns="http://schemas.openxmlformats.org/spreadsheetml/2006/main" count="1910" uniqueCount="677">
  <si>
    <t xml:space="preserve">📦  PRODUCT MASTER DATABASE</t>
  </si>
  <si>
    <t xml:space="preserve">   Electronics Shop — Product Catalog &amp; Pricing</t>
  </si>
  <si>
    <t xml:space="preserve">Product ID</t>
  </si>
  <si>
    <t xml:space="preserve">Product Name</t>
  </si>
  <si>
    <t xml:space="preserve">Category</t>
  </si>
  <si>
    <t xml:space="preserve">Brand</t>
  </si>
  <si>
    <t xml:space="preserve">Unit</t>
  </si>
  <si>
    <t xml:space="preserve">Cost Price</t>
  </si>
  <si>
    <t xml:space="preserve">Selling Price</t>
  </si>
  <si>
    <t xml:space="preserve">Reorder Level</t>
  </si>
  <si>
    <t xml:space="preserve">Supplier ID</t>
  </si>
  <si>
    <t xml:space="preserve">Description</t>
  </si>
  <si>
    <t xml:space="preserve">Status</t>
  </si>
  <si>
    <t xml:space="preserve">P001</t>
  </si>
  <si>
    <t xml:space="preserve">Samsung Galaxy S24</t>
  </si>
  <si>
    <t xml:space="preserve">Mobile Phones</t>
  </si>
  <si>
    <t xml:space="preserve">Samsung</t>
  </si>
  <si>
    <t xml:space="preserve">SUP001</t>
  </si>
  <si>
    <t xml:space="preserve">Flagship smartphone 256GB</t>
  </si>
  <si>
    <t xml:space="preserve">Active</t>
  </si>
  <si>
    <t xml:space="preserve">P002</t>
  </si>
  <si>
    <t xml:space="preserve">iPhone 15 Pro</t>
  </si>
  <si>
    <t xml:space="preserve">Apple</t>
  </si>
  <si>
    <t xml:space="preserve">SUP002</t>
  </si>
  <si>
    <t xml:space="preserve">Apple A17 Pro chip 256GB</t>
  </si>
  <si>
    <t xml:space="preserve">P003</t>
  </si>
  <si>
    <t xml:space="preserve">Xiaomi Redmi Note 13</t>
  </si>
  <si>
    <t xml:space="preserve">Xiaomi</t>
  </si>
  <si>
    <t xml:space="preserve">SUP003</t>
  </si>
  <si>
    <t xml:space="preserve">6.67 inch AMOLED display</t>
  </si>
  <si>
    <t xml:space="preserve">P004</t>
  </si>
  <si>
    <t xml:space="preserve">Samsung 55" 4K TV</t>
  </si>
  <si>
    <t xml:space="preserve">Televisions</t>
  </si>
  <si>
    <t xml:space="preserve">Crystal UHD Smart TV</t>
  </si>
  <si>
    <t xml:space="preserve">P005</t>
  </si>
  <si>
    <t xml:space="preserve">Sony Bravia 43"</t>
  </si>
  <si>
    <t xml:space="preserve">Sony</t>
  </si>
  <si>
    <t xml:space="preserve">SUP004</t>
  </si>
  <si>
    <t xml:space="preserve">Google TV X80L</t>
  </si>
  <si>
    <t xml:space="preserve">P006</t>
  </si>
  <si>
    <t xml:space="preserve">LG 32" Full HD</t>
  </si>
  <si>
    <t xml:space="preserve">LG</t>
  </si>
  <si>
    <t xml:space="preserve">SUP005</t>
  </si>
  <si>
    <t xml:space="preserve">IPS Panel Smart TV</t>
  </si>
  <si>
    <t xml:space="preserve">P007</t>
  </si>
  <si>
    <t xml:space="preserve">Dell Inspiron 15</t>
  </si>
  <si>
    <t xml:space="preserve">Laptops</t>
  </si>
  <si>
    <t xml:space="preserve">Dell</t>
  </si>
  <si>
    <t xml:space="preserve">SUP006</t>
  </si>
  <si>
    <t xml:space="preserve">Intel i5 12th Gen 8GB RAM</t>
  </si>
  <si>
    <t xml:space="preserve">P008</t>
  </si>
  <si>
    <t xml:space="preserve">HP Pavilion 14</t>
  </si>
  <si>
    <t xml:space="preserve">HP</t>
  </si>
  <si>
    <t xml:space="preserve">Ryzen 5 16GB RAM</t>
  </si>
  <si>
    <t xml:space="preserve">P009</t>
  </si>
  <si>
    <t xml:space="preserve">Lenovo IdeaPad 5</t>
  </si>
  <si>
    <t xml:space="preserve">Lenovo</t>
  </si>
  <si>
    <t xml:space="preserve">SUP007</t>
  </si>
  <si>
    <t xml:space="preserve">Intel i5 512GB SSD</t>
  </si>
  <si>
    <t xml:space="preserve">P010</t>
  </si>
  <si>
    <t xml:space="preserve">MacBook Air M2</t>
  </si>
  <si>
    <t xml:space="preserve">8GB 256GB SSD</t>
  </si>
  <si>
    <t xml:space="preserve">P011</t>
  </si>
  <si>
    <t xml:space="preserve">Samsung Galaxy Tab S9</t>
  </si>
  <si>
    <t xml:space="preserve">Tablets</t>
  </si>
  <si>
    <t xml:space="preserve">11" AMOLED 256GB</t>
  </si>
  <si>
    <t xml:space="preserve">P012</t>
  </si>
  <si>
    <t xml:space="preserve">iPad Air 5th Gen</t>
  </si>
  <si>
    <t xml:space="preserve">10.9" Liquid Retina</t>
  </si>
  <si>
    <t xml:space="preserve">P013</t>
  </si>
  <si>
    <t xml:space="preserve">Samsung 1.5 Ton AC</t>
  </si>
  <si>
    <t xml:space="preserve">Air Conditioners</t>
  </si>
  <si>
    <t xml:space="preserve">Inverter Split AC</t>
  </si>
  <si>
    <t xml:space="preserve">P014</t>
  </si>
  <si>
    <t xml:space="preserve">Haier 1 Ton AC</t>
  </si>
  <si>
    <t xml:space="preserve">Haier</t>
  </si>
  <si>
    <t xml:space="preserve">SUP008</t>
  </si>
  <si>
    <t xml:space="preserve">Wall-mounted Inverter</t>
  </si>
  <si>
    <t xml:space="preserve">P015</t>
  </si>
  <si>
    <t xml:space="preserve">Dawlance Refrigerator</t>
  </si>
  <si>
    <t xml:space="preserve">Refrigerators</t>
  </si>
  <si>
    <t xml:space="preserve">Dawlance</t>
  </si>
  <si>
    <t xml:space="preserve">SUP009</t>
  </si>
  <si>
    <t xml:space="preserve">Avante+ Series 15CFT</t>
  </si>
  <si>
    <t xml:space="preserve">P016</t>
  </si>
  <si>
    <t xml:space="preserve">PEL Refrigerator</t>
  </si>
  <si>
    <t xml:space="preserve">PEL</t>
  </si>
  <si>
    <t xml:space="preserve">Desire Series 12CFT</t>
  </si>
  <si>
    <t xml:space="preserve">P017</t>
  </si>
  <si>
    <t xml:space="preserve">Sony WH-1000XM5</t>
  </si>
  <si>
    <t xml:space="preserve">Headphones</t>
  </si>
  <si>
    <t xml:space="preserve">Noise Cancelling Wireless</t>
  </si>
  <si>
    <t xml:space="preserve">P018</t>
  </si>
  <si>
    <t xml:space="preserve">JBL Tune 770NC</t>
  </si>
  <si>
    <t xml:space="preserve">JBL</t>
  </si>
  <si>
    <t xml:space="preserve">SUP010</t>
  </si>
  <si>
    <t xml:space="preserve">ANC Wireless Headphones</t>
  </si>
  <si>
    <t xml:space="preserve">P019</t>
  </si>
  <si>
    <t xml:space="preserve">TP-Link WiFi Router</t>
  </si>
  <si>
    <t xml:space="preserve">Networking</t>
  </si>
  <si>
    <t xml:space="preserve">TP-Link</t>
  </si>
  <si>
    <t xml:space="preserve">SUP011</t>
  </si>
  <si>
    <t xml:space="preserve">AX3000 Dual Band</t>
  </si>
  <si>
    <t xml:space="preserve">P020</t>
  </si>
  <si>
    <t xml:space="preserve">Huawei WiFi 6 Router</t>
  </si>
  <si>
    <t xml:space="preserve">Huawei</t>
  </si>
  <si>
    <t xml:space="preserve">SUP012</t>
  </si>
  <si>
    <t xml:space="preserve">AX3 Pro WiFi 6</t>
  </si>
  <si>
    <t xml:space="preserve">P021</t>
  </si>
  <si>
    <t xml:space="preserve">Logitech MX Master 3</t>
  </si>
  <si>
    <t xml:space="preserve">Accessories</t>
  </si>
  <si>
    <t xml:space="preserve">Logitech</t>
  </si>
  <si>
    <t xml:space="preserve">SUP013</t>
  </si>
  <si>
    <t xml:space="preserve">Wireless Mouse</t>
  </si>
  <si>
    <t xml:space="preserve">P022</t>
  </si>
  <si>
    <t xml:space="preserve">Apple Magic Mouse</t>
  </si>
  <si>
    <t xml:space="preserve">Multi-Touch Surface</t>
  </si>
  <si>
    <t xml:space="preserve">P023</t>
  </si>
  <si>
    <t xml:space="preserve">Samsung 1TB SSD</t>
  </si>
  <si>
    <t xml:space="preserve">Storage</t>
  </si>
  <si>
    <t xml:space="preserve">T7 Portable SSD</t>
  </si>
  <si>
    <t xml:space="preserve">P024</t>
  </si>
  <si>
    <t xml:space="preserve">Western Digital 2TB HDD</t>
  </si>
  <si>
    <t xml:space="preserve">WD</t>
  </si>
  <si>
    <t xml:space="preserve">SUP014</t>
  </si>
  <si>
    <t xml:space="preserve">My Passport Ultra</t>
  </si>
  <si>
    <t xml:space="preserve">P025</t>
  </si>
  <si>
    <t xml:space="preserve">Canon EOS R50</t>
  </si>
  <si>
    <t xml:space="preserve">Cameras</t>
  </si>
  <si>
    <t xml:space="preserve">Canon</t>
  </si>
  <si>
    <t xml:space="preserve">SUP015</t>
  </si>
  <si>
    <t xml:space="preserve">24.2MP Mirrorless</t>
  </si>
  <si>
    <t xml:space="preserve">🏭  SUPPLIER MASTER DATABASE</t>
  </si>
  <si>
    <t xml:space="preserve">   Vendor Information &amp; Payment Terms</t>
  </si>
  <si>
    <t xml:space="preserve">Supplier Name</t>
  </si>
  <si>
    <t xml:space="preserve">Contact Person</t>
  </si>
  <si>
    <t xml:space="preserve">Phone</t>
  </si>
  <si>
    <t xml:space="preserve">Email</t>
  </si>
  <si>
    <t xml:space="preserve">City</t>
  </si>
  <si>
    <t xml:space="preserve">Payment Terms</t>
  </si>
  <si>
    <t xml:space="preserve">Credit Limit</t>
  </si>
  <si>
    <t xml:space="preserve">Samsung Pakistan</t>
  </si>
  <si>
    <t xml:space="preserve">Ali Hassan</t>
  </si>
  <si>
    <t xml:space="preserve">0300-1234567</t>
  </si>
  <si>
    <t xml:space="preserve">ali@samsung.pk</t>
  </si>
  <si>
    <t xml:space="preserve">Karachi</t>
  </si>
  <si>
    <t xml:space="preserve">30 Days</t>
  </si>
  <si>
    <t xml:space="preserve">Apple Authorized Dist.</t>
  </si>
  <si>
    <t xml:space="preserve">Sara Khan</t>
  </si>
  <si>
    <t xml:space="preserve">0321-9876543</t>
  </si>
  <si>
    <t xml:space="preserve">sara@appledist.pk</t>
  </si>
  <si>
    <t xml:space="preserve">Lahore</t>
  </si>
  <si>
    <t xml:space="preserve">45 Days</t>
  </si>
  <si>
    <t xml:space="preserve">Xiaomi Pakistan</t>
  </si>
  <si>
    <t xml:space="preserve">Usman Malik</t>
  </si>
  <si>
    <t xml:space="preserve">0333-5555555</t>
  </si>
  <si>
    <t xml:space="preserve">usman@xiaomi.pk</t>
  </si>
  <si>
    <t xml:space="preserve">Sony Pakistan</t>
  </si>
  <si>
    <t xml:space="preserve">Fatima Zaidi</t>
  </si>
  <si>
    <t xml:space="preserve">0312-4444444</t>
  </si>
  <si>
    <t xml:space="preserve">fatima@sony.pk</t>
  </si>
  <si>
    <t xml:space="preserve">Islamabad</t>
  </si>
  <si>
    <t xml:space="preserve">LG Electronics</t>
  </si>
  <si>
    <t xml:space="preserve">Tariq Mehmood</t>
  </si>
  <si>
    <t xml:space="preserve">0345-7777777</t>
  </si>
  <si>
    <t xml:space="preserve">tariq@lgelec.pk</t>
  </si>
  <si>
    <t xml:space="preserve">Dell &amp; HP Distributor</t>
  </si>
  <si>
    <t xml:space="preserve">Zara Ahmed</t>
  </si>
  <si>
    <t xml:space="preserve">0311-2222222</t>
  </si>
  <si>
    <t xml:space="preserve">zara@dellhp.pk</t>
  </si>
  <si>
    <t xml:space="preserve">Lenovo Distributor</t>
  </si>
  <si>
    <t xml:space="preserve">Bilal Raza</t>
  </si>
  <si>
    <t xml:space="preserve">0322-3333333</t>
  </si>
  <si>
    <t xml:space="preserve">bilal@lenovo.pk</t>
  </si>
  <si>
    <t xml:space="preserve">Haier Pakistan</t>
  </si>
  <si>
    <t xml:space="preserve">Nadia Siddiqui</t>
  </si>
  <si>
    <t xml:space="preserve">0323-6666666</t>
  </si>
  <si>
    <t xml:space="preserve">nadia@haier.pk</t>
  </si>
  <si>
    <t xml:space="preserve">Dawlance/PEL Dealer</t>
  </si>
  <si>
    <t xml:space="preserve">Kamran Iqbal</t>
  </si>
  <si>
    <t xml:space="preserve">0334-8888888</t>
  </si>
  <si>
    <t xml:space="preserve">kamran@dawlance.pk</t>
  </si>
  <si>
    <t xml:space="preserve">JBL Audio Pakistan</t>
  </si>
  <si>
    <t xml:space="preserve">Aisha Farooq</t>
  </si>
  <si>
    <t xml:space="preserve">0335-9999999</t>
  </si>
  <si>
    <t xml:space="preserve">aisha@jbl.pk</t>
  </si>
  <si>
    <t xml:space="preserve">TP-Link Pakistan</t>
  </si>
  <si>
    <t xml:space="preserve">Hasan Raza</t>
  </si>
  <si>
    <t xml:space="preserve">0341-1111111</t>
  </si>
  <si>
    <t xml:space="preserve">hasan@tplink.pk</t>
  </si>
  <si>
    <t xml:space="preserve">Huawei Pakistan</t>
  </si>
  <si>
    <t xml:space="preserve">Mariam Shah</t>
  </si>
  <si>
    <t xml:space="preserve">0315-0000000</t>
  </si>
  <si>
    <t xml:space="preserve">mariam@huawei.pk</t>
  </si>
  <si>
    <t xml:space="preserve">Logitech Distributor</t>
  </si>
  <si>
    <t xml:space="preserve">Omar Farhan</t>
  </si>
  <si>
    <t xml:space="preserve">0316-2323232</t>
  </si>
  <si>
    <t xml:space="preserve">omar@logitechdist.pk</t>
  </si>
  <si>
    <t xml:space="preserve">WD Storage Pakistan</t>
  </si>
  <si>
    <t xml:space="preserve">Sana Mirza</t>
  </si>
  <si>
    <t xml:space="preserve">0317-4545454</t>
  </si>
  <si>
    <t xml:space="preserve">sana@wd.pk</t>
  </si>
  <si>
    <t xml:space="preserve">Canon Pakistan</t>
  </si>
  <si>
    <t xml:space="preserve">Rizwan Ali</t>
  </si>
  <si>
    <t xml:space="preserve">0318-6767676</t>
  </si>
  <si>
    <t xml:space="preserve">rizwan@canon.pk</t>
  </si>
  <si>
    <t xml:space="preserve">🏪  ELECTRONICS SHOP — RETAIL MANAGEMENT SYSTEM</t>
  </si>
  <si>
    <t xml:space="preserve">Executive Dashboard  |  Powered by Automated ERP Formulas  |  Auto-refreshes with data entry</t>
  </si>
  <si>
    <t xml:space="preserve">💰 TOTAL SALES REVENUE</t>
  </si>
  <si>
    <t xml:space="preserve">📦 TOTAL PURCHASES</t>
  </si>
  <si>
    <t xml:space="preserve">📈 GROSS PROFIT</t>
  </si>
  <si>
    <t xml:space="preserve">💵 NET PROFIT</t>
  </si>
  <si>
    <t xml:space="preserve">All invoices YTD</t>
  </si>
  <si>
    <t xml:space="preserve">Stock value procured</t>
  </si>
  <si>
    <t xml:space="preserve">Revenue − COGS</t>
  </si>
  <si>
    <t xml:space="preserve">After all expenses</t>
  </si>
  <si>
    <t xml:space="preserve">💳 RECEIVABLES DUE</t>
  </si>
  <si>
    <t xml:space="preserve">🏦 PAYABLES DUE</t>
  </si>
  <si>
    <t xml:space="preserve">🏪 INVENTORY VALUE</t>
  </si>
  <si>
    <t xml:space="preserve">💸 TOTAL EXPENSES</t>
  </si>
  <si>
    <t xml:space="preserve">From credit customers</t>
  </si>
  <si>
    <t xml:space="preserve">To suppliers</t>
  </si>
  <si>
    <t xml:space="preserve">FIFO-based valuation</t>
  </si>
  <si>
    <t xml:space="preserve">Operating costs YTD</t>
  </si>
  <si>
    <t xml:space="preserve">📊  SALES BY CATEGORY</t>
  </si>
  <si>
    <t xml:space="preserve">🔴  LOW STOCK ALERTS</t>
  </si>
  <si>
    <t xml:space="preserve">Items Sold</t>
  </si>
  <si>
    <t xml:space="preserve">Revenue (PKR)</t>
  </si>
  <si>
    <t xml:space="preserve">Share %</t>
  </si>
  <si>
    <t xml:space="preserve">Product</t>
  </si>
  <si>
    <t xml:space="preserve">Stock</t>
  </si>
  <si>
    <t xml:space="preserve">Reorder</t>
  </si>
  <si>
    <t xml:space="preserve">Alert</t>
  </si>
  <si>
    <t xml:space="preserve">🏆  TOP CUSTOMERS BY REVENUE</t>
  </si>
  <si>
    <t xml:space="preserve">Customer ID</t>
  </si>
  <si>
    <t xml:space="preserve">Customer Name</t>
  </si>
  <si>
    <t xml:space="preserve">Total Revenue</t>
  </si>
  <si>
    <t xml:space="preserve">Orders</t>
  </si>
  <si>
    <t xml:space="preserve">C001</t>
  </si>
  <si>
    <t xml:space="preserve">Ahmed Enterprises</t>
  </si>
  <si>
    <t xml:space="preserve">C002</t>
  </si>
  <si>
    <t xml:space="preserve">Fatima Khan</t>
  </si>
  <si>
    <t xml:space="preserve">C003</t>
  </si>
  <si>
    <t xml:space="preserve">Tech Solutions Pvt</t>
  </si>
  <si>
    <t xml:space="preserve">C004</t>
  </si>
  <si>
    <t xml:space="preserve">Usman Ali</t>
  </si>
  <si>
    <t xml:space="preserve">C005</t>
  </si>
  <si>
    <t xml:space="preserve">Digital World Store</t>
  </si>
  <si>
    <t xml:space="preserve">C006</t>
  </si>
  <si>
    <t xml:space="preserve">Sara Malik</t>
  </si>
  <si>
    <t xml:space="preserve">C007</t>
  </si>
  <si>
    <t xml:space="preserve">Bilal Electronics</t>
  </si>
  <si>
    <t xml:space="preserve">C008</t>
  </si>
  <si>
    <t xml:space="preserve">Zara Iqbal</t>
  </si>
  <si>
    <t xml:space="preserve">💰  CASH vs CREDIT SALES BREAKDOWN</t>
  </si>
  <si>
    <t xml:space="preserve">Payment Mode</t>
  </si>
  <si>
    <t xml:space="preserve"># Sales</t>
  </si>
  <si>
    <t xml:space="preserve">Revenue</t>
  </si>
  <si>
    <t xml:space="preserve">Cash</t>
  </si>
  <si>
    <t xml:space="preserve">Credit</t>
  </si>
  <si>
    <t xml:space="preserve">Bank Transfer</t>
  </si>
  <si>
    <t xml:space="preserve">Installment</t>
  </si>
  <si>
    <t xml:space="preserve">📊  PROFIT SUMMARY</t>
  </si>
  <si>
    <t xml:space="preserve">Total COGS</t>
  </si>
  <si>
    <t xml:space="preserve">Gross Profit</t>
  </si>
  <si>
    <t xml:space="preserve">Total Expenses</t>
  </si>
  <si>
    <t xml:space="preserve">NET PROFIT</t>
  </si>
  <si>
    <t xml:space="preserve">👥  CUSTOMER MASTER DATABASE</t>
  </si>
  <si>
    <t xml:space="preserve">   Customer Information &amp; Credit Limits</t>
  </si>
  <si>
    <t xml:space="preserve">Address</t>
  </si>
  <si>
    <t xml:space="preserve">Customer Type</t>
  </si>
  <si>
    <t xml:space="preserve">0300-1111111</t>
  </si>
  <si>
    <t xml:space="preserve">ahmed@ent.com</t>
  </si>
  <si>
    <t xml:space="preserve">Shop 5, Saddar</t>
  </si>
  <si>
    <t xml:space="preserve">Business</t>
  </si>
  <si>
    <t xml:space="preserve">0321-2222222</t>
  </si>
  <si>
    <t xml:space="preserve">fatima.k@gmail.com</t>
  </si>
  <si>
    <t xml:space="preserve">House 12, DHA</t>
  </si>
  <si>
    <t xml:space="preserve">Individual</t>
  </si>
  <si>
    <t xml:space="preserve">0311-3333333</t>
  </si>
  <si>
    <t xml:space="preserve">info@techsol.pk</t>
  </si>
  <si>
    <t xml:space="preserve">Office 3, I-8</t>
  </si>
  <si>
    <t xml:space="preserve">0333-4444444</t>
  </si>
  <si>
    <t xml:space="preserve">usman.ali@yahoo.com</t>
  </si>
  <si>
    <t xml:space="preserve">Flat 8, Clifton</t>
  </si>
  <si>
    <t xml:space="preserve">0345-5555555</t>
  </si>
  <si>
    <t xml:space="preserve">dw@digitalworld.pk</t>
  </si>
  <si>
    <t xml:space="preserve">Main Market</t>
  </si>
  <si>
    <t xml:space="preserve">0312-6666666</t>
  </si>
  <si>
    <t xml:space="preserve">sara.malik@gmail.com</t>
  </si>
  <si>
    <t xml:space="preserve">House 45, F-7</t>
  </si>
  <si>
    <t xml:space="preserve">0322-7777777</t>
  </si>
  <si>
    <t xml:space="preserve">bilal@electronics.pk</t>
  </si>
  <si>
    <t xml:space="preserve">Hafeez Centre</t>
  </si>
  <si>
    <t xml:space="preserve">zara.iq@gmail.com</t>
  </si>
  <si>
    <t xml:space="preserve">House 22, PECHS</t>
  </si>
  <si>
    <t xml:space="preserve">C009</t>
  </si>
  <si>
    <t xml:space="preserve">NextGen Computers</t>
  </si>
  <si>
    <t xml:space="preserve">0315-9999999</t>
  </si>
  <si>
    <t xml:space="preserve">ng@nextgen.pk</t>
  </si>
  <si>
    <t xml:space="preserve">Gulshan-e-Iqbal</t>
  </si>
  <si>
    <t xml:space="preserve">C010</t>
  </si>
  <si>
    <t xml:space="preserve">Kamran Mirza</t>
  </si>
  <si>
    <t xml:space="preserve">0316-0000000</t>
  </si>
  <si>
    <t xml:space="preserve">k.mirza@hotmail.com</t>
  </si>
  <si>
    <t xml:space="preserve">House 7, Model Town</t>
  </si>
  <si>
    <t xml:space="preserve">C011</t>
  </si>
  <si>
    <t xml:space="preserve">Karachi Computer Shop</t>
  </si>
  <si>
    <t xml:space="preserve">0317-1212121</t>
  </si>
  <si>
    <t xml:space="preserve">kcs@kcs.pk</t>
  </si>
  <si>
    <t xml:space="preserve">Raja Ghazanfar</t>
  </si>
  <si>
    <t xml:space="preserve">C012</t>
  </si>
  <si>
    <t xml:space="preserve">Nadia Hussain</t>
  </si>
  <si>
    <t xml:space="preserve">0318-3434343</t>
  </si>
  <si>
    <t xml:space="preserve">nadia.h@gmail.com</t>
  </si>
  <si>
    <t xml:space="preserve">Flat 3, Gulberg</t>
  </si>
  <si>
    <t xml:space="preserve">C013</t>
  </si>
  <si>
    <t xml:space="preserve">Smart Tech Hub</t>
  </si>
  <si>
    <t xml:space="preserve">0319-5656565</t>
  </si>
  <si>
    <t xml:space="preserve">sth@smarthub.pk</t>
  </si>
  <si>
    <t xml:space="preserve">Blue Area</t>
  </si>
  <si>
    <t xml:space="preserve">C014</t>
  </si>
  <si>
    <t xml:space="preserve">Rizwan Ahmad</t>
  </si>
  <si>
    <t xml:space="preserve">0320-7878787</t>
  </si>
  <si>
    <t xml:space="preserve">r.ahmad@gmail.com</t>
  </si>
  <si>
    <t xml:space="preserve">House 55, Johar</t>
  </si>
  <si>
    <t xml:space="preserve">C015</t>
  </si>
  <si>
    <t xml:space="preserve">Pixel Perfect Store</t>
  </si>
  <si>
    <t xml:space="preserve">0323-9090909</t>
  </si>
  <si>
    <t xml:space="preserve">pp@pixel.pk</t>
  </si>
  <si>
    <t xml:space="preserve">Liberty Market</t>
  </si>
  <si>
    <t xml:space="preserve">📥  PURCHASE ENTRY  (Stock In)</t>
  </si>
  <si>
    <t xml:space="preserve">   Record all supplier purchases — auto-linked to inventory</t>
  </si>
  <si>
    <t xml:space="preserve">Purchase ID</t>
  </si>
  <si>
    <t xml:space="preserve">Date</t>
  </si>
  <si>
    <t xml:space="preserve">Qty</t>
  </si>
  <si>
    <t xml:space="preserve">Unit Cost</t>
  </si>
  <si>
    <t xml:space="preserve">Total Cost</t>
  </si>
  <si>
    <t xml:space="preserve">Invoice Ref</t>
  </si>
  <si>
    <t xml:space="preserve">PUR0001</t>
  </si>
  <si>
    <t xml:space="preserve">INV-42098</t>
  </si>
  <si>
    <t xml:space="preserve">Received</t>
  </si>
  <si>
    <t xml:space="preserve">PUR0002</t>
  </si>
  <si>
    <t xml:space="preserve">INV-81482</t>
  </si>
  <si>
    <t xml:space="preserve">PUR0003</t>
  </si>
  <si>
    <t xml:space="preserve">INV-22280</t>
  </si>
  <si>
    <t xml:space="preserve">PUR0004</t>
  </si>
  <si>
    <t xml:space="preserve">INV-83563</t>
  </si>
  <si>
    <t xml:space="preserve">PUR0005</t>
  </si>
  <si>
    <t xml:space="preserve">INV-64987</t>
  </si>
  <si>
    <t xml:space="preserve">PUR0006</t>
  </si>
  <si>
    <t xml:space="preserve">INV-30926</t>
  </si>
  <si>
    <t xml:space="preserve">PUR0007</t>
  </si>
  <si>
    <t xml:space="preserve">INV-38221</t>
  </si>
  <si>
    <t xml:space="preserve">PUR0008</t>
  </si>
  <si>
    <t xml:space="preserve">INV-57052</t>
  </si>
  <si>
    <t xml:space="preserve">PUR0009</t>
  </si>
  <si>
    <t xml:space="preserve">INV-70217</t>
  </si>
  <si>
    <t xml:space="preserve">PUR0010</t>
  </si>
  <si>
    <t xml:space="preserve">INV-48427</t>
  </si>
  <si>
    <t xml:space="preserve">PUR0011</t>
  </si>
  <si>
    <t xml:space="preserve">INV-19116</t>
  </si>
  <si>
    <t xml:space="preserve">PUR0012</t>
  </si>
  <si>
    <t xml:space="preserve">INV-20458</t>
  </si>
  <si>
    <t xml:space="preserve">PUR0013</t>
  </si>
  <si>
    <t xml:space="preserve">INV-69429</t>
  </si>
  <si>
    <t xml:space="preserve">PUR0014</t>
  </si>
  <si>
    <t xml:space="preserve">INV-56566</t>
  </si>
  <si>
    <t xml:space="preserve">PUR0015</t>
  </si>
  <si>
    <t xml:space="preserve">INV-94939</t>
  </si>
  <si>
    <t xml:space="preserve">PUR0016</t>
  </si>
  <si>
    <t xml:space="preserve">INV-42087</t>
  </si>
  <si>
    <t xml:space="preserve">PUR0017</t>
  </si>
  <si>
    <t xml:space="preserve">INV-83000</t>
  </si>
  <si>
    <t xml:space="preserve">PUR0018</t>
  </si>
  <si>
    <t xml:space="preserve">INV-40021</t>
  </si>
  <si>
    <t xml:space="preserve">PUR0019</t>
  </si>
  <si>
    <t xml:space="preserve">INV-18675</t>
  </si>
  <si>
    <t xml:space="preserve">PUR0020</t>
  </si>
  <si>
    <t xml:space="preserve">INV-51245</t>
  </si>
  <si>
    <t xml:space="preserve">PUR0021</t>
  </si>
  <si>
    <t xml:space="preserve">INV-70142</t>
  </si>
  <si>
    <t xml:space="preserve">PUR0022</t>
  </si>
  <si>
    <t xml:space="preserve">INV-83579</t>
  </si>
  <si>
    <t xml:space="preserve">PUR0023</t>
  </si>
  <si>
    <t xml:space="preserve">INV-86484</t>
  </si>
  <si>
    <t xml:space="preserve">PUR0024</t>
  </si>
  <si>
    <t xml:space="preserve">INV-74686</t>
  </si>
  <si>
    <t xml:space="preserve">PUR0025</t>
  </si>
  <si>
    <t xml:space="preserve">INV-30033</t>
  </si>
  <si>
    <t xml:space="preserve">PUR0026</t>
  </si>
  <si>
    <t xml:space="preserve">INV-18326</t>
  </si>
  <si>
    <t xml:space="preserve">PUR0027</t>
  </si>
  <si>
    <t xml:space="preserve">INV-42953</t>
  </si>
  <si>
    <t xml:space="preserve">PUR0028</t>
  </si>
  <si>
    <t xml:space="preserve">INV-25014</t>
  </si>
  <si>
    <t xml:space="preserve">PUR0029</t>
  </si>
  <si>
    <t xml:space="preserve">INV-94012</t>
  </si>
  <si>
    <t xml:space="preserve">PUR0030</t>
  </si>
  <si>
    <t xml:space="preserve">INV-69470</t>
  </si>
  <si>
    <t xml:space="preserve">PUR0031</t>
  </si>
  <si>
    <t xml:space="preserve">INV-33416</t>
  </si>
  <si>
    <t xml:space="preserve">PUR0032</t>
  </si>
  <si>
    <t xml:space="preserve">INV-49117</t>
  </si>
  <si>
    <t xml:space="preserve">PUR0033</t>
  </si>
  <si>
    <t xml:space="preserve">INV-59009</t>
  </si>
  <si>
    <t xml:space="preserve">PUR0034</t>
  </si>
  <si>
    <t xml:space="preserve">INV-10074</t>
  </si>
  <si>
    <t xml:space="preserve">PUR0035</t>
  </si>
  <si>
    <t xml:space="preserve">INV-57576</t>
  </si>
  <si>
    <t xml:space="preserve">PUR0036</t>
  </si>
  <si>
    <t xml:space="preserve">INV-20322</t>
  </si>
  <si>
    <t xml:space="preserve">PUR0037</t>
  </si>
  <si>
    <t xml:space="preserve">INV-79822</t>
  </si>
  <si>
    <t xml:space="preserve">PUR0038</t>
  </si>
  <si>
    <t xml:space="preserve">INV-31643</t>
  </si>
  <si>
    <t xml:space="preserve">PUR0039</t>
  </si>
  <si>
    <t xml:space="preserve">INV-80686</t>
  </si>
  <si>
    <t xml:space="preserve">PUR0040</t>
  </si>
  <si>
    <t xml:space="preserve">INV-98039</t>
  </si>
  <si>
    <t xml:space="preserve">PUR0041</t>
  </si>
  <si>
    <t xml:space="preserve">INV-69177</t>
  </si>
  <si>
    <t xml:space="preserve">PUR0042</t>
  </si>
  <si>
    <t xml:space="preserve">INV-12757</t>
  </si>
  <si>
    <t xml:space="preserve">PUR0043</t>
  </si>
  <si>
    <t xml:space="preserve">INV-10942</t>
  </si>
  <si>
    <t xml:space="preserve">PUR0044</t>
  </si>
  <si>
    <t xml:space="preserve">INV-18834</t>
  </si>
  <si>
    <t xml:space="preserve">PUR0045</t>
  </si>
  <si>
    <t xml:space="preserve">INV-41195</t>
  </si>
  <si>
    <t xml:space="preserve">PUR0046</t>
  </si>
  <si>
    <t xml:space="preserve">INV-27342</t>
  </si>
  <si>
    <t xml:space="preserve">PUR0047</t>
  </si>
  <si>
    <t xml:space="preserve">INV-63354</t>
  </si>
  <si>
    <t xml:space="preserve">PUR0048</t>
  </si>
  <si>
    <t xml:space="preserve">INV-56438</t>
  </si>
  <si>
    <t xml:space="preserve">PUR0049</t>
  </si>
  <si>
    <t xml:space="preserve">INV-17100</t>
  </si>
  <si>
    <t xml:space="preserve">PUR0050</t>
  </si>
  <si>
    <t xml:space="preserve">INV-62772</t>
  </si>
  <si>
    <t xml:space="preserve">TOTAL PURCHASES</t>
  </si>
  <si>
    <t xml:space="preserve">📤  SALES ENTRY  (Stock Out)</t>
  </si>
  <si>
    <t xml:space="preserve">   Record all customer sales — auto-linked to inventory &amp; receivables</t>
  </si>
  <si>
    <t xml:space="preserve">Invoice ID</t>
  </si>
  <si>
    <t xml:space="preserve">Unit Price</t>
  </si>
  <si>
    <t xml:space="preserve">Discount%</t>
  </si>
  <si>
    <t xml:space="preserve">Net Price</t>
  </si>
  <si>
    <t xml:space="preserve">Total</t>
  </si>
  <si>
    <t xml:space="preserve">Amount Paid</t>
  </si>
  <si>
    <t xml:space="preserve">Balance Due</t>
  </si>
  <si>
    <t xml:space="preserve">INV0001</t>
  </si>
  <si>
    <t xml:space="preserve">INV0002</t>
  </si>
  <si>
    <t xml:space="preserve">INV0003</t>
  </si>
  <si>
    <t xml:space="preserve">INV0004</t>
  </si>
  <si>
    <t xml:space="preserve">INV0005</t>
  </si>
  <si>
    <t xml:space="preserve">INV0006</t>
  </si>
  <si>
    <t xml:space="preserve">INV0007</t>
  </si>
  <si>
    <t xml:space="preserve">INV0008</t>
  </si>
  <si>
    <t xml:space="preserve">INV0009</t>
  </si>
  <si>
    <t xml:space="preserve">INV0010</t>
  </si>
  <si>
    <t xml:space="preserve">INV0011</t>
  </si>
  <si>
    <t xml:space="preserve">INV0012</t>
  </si>
  <si>
    <t xml:space="preserve">INV0013</t>
  </si>
  <si>
    <t xml:space="preserve">INV0014</t>
  </si>
  <si>
    <t xml:space="preserve">INV0015</t>
  </si>
  <si>
    <t xml:space="preserve">INV0016</t>
  </si>
  <si>
    <t xml:space="preserve">INV0017</t>
  </si>
  <si>
    <t xml:space="preserve">INV0018</t>
  </si>
  <si>
    <t xml:space="preserve">INV0019</t>
  </si>
  <si>
    <t xml:space="preserve">INV0020</t>
  </si>
  <si>
    <t xml:space="preserve">INV0021</t>
  </si>
  <si>
    <t xml:space="preserve">INV0022</t>
  </si>
  <si>
    <t xml:space="preserve">INV0023</t>
  </si>
  <si>
    <t xml:space="preserve">INV0024</t>
  </si>
  <si>
    <t xml:space="preserve">INV0025</t>
  </si>
  <si>
    <t xml:space="preserve">INV0026</t>
  </si>
  <si>
    <t xml:space="preserve">INV0027</t>
  </si>
  <si>
    <t xml:space="preserve">INV0028</t>
  </si>
  <si>
    <t xml:space="preserve">INV0029</t>
  </si>
  <si>
    <t xml:space="preserve">INV0030</t>
  </si>
  <si>
    <t xml:space="preserve">INV0031</t>
  </si>
  <si>
    <t xml:space="preserve">INV0032</t>
  </si>
  <si>
    <t xml:space="preserve">INV0033</t>
  </si>
  <si>
    <t xml:space="preserve">INV0034</t>
  </si>
  <si>
    <t xml:space="preserve">INV0035</t>
  </si>
  <si>
    <t xml:space="preserve">INV0036</t>
  </si>
  <si>
    <t xml:space="preserve">INV0037</t>
  </si>
  <si>
    <t xml:space="preserve">INV0038</t>
  </si>
  <si>
    <t xml:space="preserve">INV0039</t>
  </si>
  <si>
    <t xml:space="preserve">INV0040</t>
  </si>
  <si>
    <t xml:space="preserve">INV0041</t>
  </si>
  <si>
    <t xml:space="preserve">INV0042</t>
  </si>
  <si>
    <t xml:space="preserve">INV0043</t>
  </si>
  <si>
    <t xml:space="preserve">INV0044</t>
  </si>
  <si>
    <t xml:space="preserve">INV0045</t>
  </si>
  <si>
    <t xml:space="preserve">INV0046</t>
  </si>
  <si>
    <t xml:space="preserve">INV0047</t>
  </si>
  <si>
    <t xml:space="preserve">INV0048</t>
  </si>
  <si>
    <t xml:space="preserve">INV0049</t>
  </si>
  <si>
    <t xml:space="preserve">INV0050</t>
  </si>
  <si>
    <t xml:space="preserve">TOTAL SALES</t>
  </si>
  <si>
    <t xml:space="preserve">🏪  INVENTORY STATUS  (Auto-Calculated)</t>
  </si>
  <si>
    <t xml:space="preserve">   Real-time stock levels, FIFO valuation &amp; low-stock alerts</t>
  </si>
  <si>
    <t xml:space="preserve">Opening Stock</t>
  </si>
  <si>
    <t xml:space="preserve">Total Purchased</t>
  </si>
  <si>
    <t xml:space="preserve">Total Sold</t>
  </si>
  <si>
    <t xml:space="preserve">Current Stock</t>
  </si>
  <si>
    <t xml:space="preserve">FIFO Value</t>
  </si>
  <si>
    <t xml:space="preserve">Stock Alert</t>
  </si>
  <si>
    <t xml:space="preserve">TOTAL INVENTORY VALUE (FIFO)</t>
  </si>
  <si>
    <t xml:space="preserve">💸  EXPENSE TRACKER</t>
  </si>
  <si>
    <t xml:space="preserve">   Monthly operating expenses for net profit calculation</t>
  </si>
  <si>
    <t xml:space="preserve">Exp ID</t>
  </si>
  <si>
    <t xml:space="preserve">Amount</t>
  </si>
  <si>
    <t xml:space="preserve">Reference</t>
  </si>
  <si>
    <t xml:space="preserve">E001</t>
  </si>
  <si>
    <t xml:space="preserve">Marketing</t>
  </si>
  <si>
    <t xml:space="preserve">Social media ads</t>
  </si>
  <si>
    <t xml:space="preserve">Cheque</t>
  </si>
  <si>
    <t xml:space="preserve">EXP-2269</t>
  </si>
  <si>
    <t xml:space="preserve">E002</t>
  </si>
  <si>
    <t xml:space="preserve">Logistics</t>
  </si>
  <si>
    <t xml:space="preserve">Delivery &amp; transport</t>
  </si>
  <si>
    <t xml:space="preserve">EXP-6502</t>
  </si>
  <si>
    <t xml:space="preserve">E003</t>
  </si>
  <si>
    <t xml:space="preserve">Salaries</t>
  </si>
  <si>
    <t xml:space="preserve">Staff salaries</t>
  </si>
  <si>
    <t xml:space="preserve">EXP-4788</t>
  </si>
  <si>
    <t xml:space="preserve">E004</t>
  </si>
  <si>
    <t xml:space="preserve">Utilities</t>
  </si>
  <si>
    <t xml:space="preserve">Electricity &amp; internet bill</t>
  </si>
  <si>
    <t xml:space="preserve">EXP-2052</t>
  </si>
  <si>
    <t xml:space="preserve">E005</t>
  </si>
  <si>
    <t xml:space="preserve">Miscellaneous</t>
  </si>
  <si>
    <t xml:space="preserve">Petty cash expenses</t>
  </si>
  <si>
    <t xml:space="preserve">EXP-8633</t>
  </si>
  <si>
    <t xml:space="preserve">E006</t>
  </si>
  <si>
    <t xml:space="preserve">Rent</t>
  </si>
  <si>
    <t xml:space="preserve">Monthly shop rent</t>
  </si>
  <si>
    <t xml:space="preserve">EXP-7381</t>
  </si>
  <si>
    <t xml:space="preserve">E007</t>
  </si>
  <si>
    <t xml:space="preserve">EXP-1096</t>
  </si>
  <si>
    <t xml:space="preserve">E008</t>
  </si>
  <si>
    <t xml:space="preserve">EXP-9818</t>
  </si>
  <si>
    <t xml:space="preserve">E009</t>
  </si>
  <si>
    <t xml:space="preserve">EXP-5471</t>
  </si>
  <si>
    <t xml:space="preserve">E010</t>
  </si>
  <si>
    <t xml:space="preserve">Office Supplies</t>
  </si>
  <si>
    <t xml:space="preserve">Stationery &amp; supplies</t>
  </si>
  <si>
    <t xml:space="preserve">EXP-6507</t>
  </si>
  <si>
    <t xml:space="preserve">E011</t>
  </si>
  <si>
    <t xml:space="preserve">EXP-8657</t>
  </si>
  <si>
    <t xml:space="preserve">E012</t>
  </si>
  <si>
    <t xml:space="preserve">EXP-1444</t>
  </si>
  <si>
    <t xml:space="preserve">E013</t>
  </si>
  <si>
    <t xml:space="preserve">EXP-3977</t>
  </si>
  <si>
    <t xml:space="preserve">E014</t>
  </si>
  <si>
    <t xml:space="preserve">EXP-4467</t>
  </si>
  <si>
    <t xml:space="preserve">E015</t>
  </si>
  <si>
    <t xml:space="preserve">Repairs &amp; Maintenance</t>
  </si>
  <si>
    <t xml:space="preserve">Equipment repair</t>
  </si>
  <si>
    <t xml:space="preserve">EXP-5558</t>
  </si>
  <si>
    <t xml:space="preserve">E016</t>
  </si>
  <si>
    <t xml:space="preserve">EXP-1317</t>
  </si>
  <si>
    <t xml:space="preserve">E017</t>
  </si>
  <si>
    <t xml:space="preserve">EXP-2124</t>
  </si>
  <si>
    <t xml:space="preserve">E018</t>
  </si>
  <si>
    <t xml:space="preserve">EXP-4266</t>
  </si>
  <si>
    <t xml:space="preserve">E019</t>
  </si>
  <si>
    <t xml:space="preserve">EXP-8758</t>
  </si>
  <si>
    <t xml:space="preserve">E020</t>
  </si>
  <si>
    <t xml:space="preserve">EXP-8619</t>
  </si>
  <si>
    <t xml:space="preserve">E021</t>
  </si>
  <si>
    <t xml:space="preserve">EXP-2876</t>
  </si>
  <si>
    <t xml:space="preserve">E022</t>
  </si>
  <si>
    <t xml:space="preserve">EXP-1420</t>
  </si>
  <si>
    <t xml:space="preserve">E023</t>
  </si>
  <si>
    <t xml:space="preserve">EXP-2245</t>
  </si>
  <si>
    <t xml:space="preserve">E024</t>
  </si>
  <si>
    <t xml:space="preserve">EXP-5941</t>
  </si>
  <si>
    <t xml:space="preserve">E025</t>
  </si>
  <si>
    <t xml:space="preserve">EXP-6688</t>
  </si>
  <si>
    <t xml:space="preserve">E026</t>
  </si>
  <si>
    <t xml:space="preserve">EXP-2129</t>
  </si>
  <si>
    <t xml:space="preserve">E027</t>
  </si>
  <si>
    <t xml:space="preserve">EXP-9031</t>
  </si>
  <si>
    <t xml:space="preserve">E028</t>
  </si>
  <si>
    <t xml:space="preserve">EXP-8532</t>
  </si>
  <si>
    <t xml:space="preserve">E029</t>
  </si>
  <si>
    <t xml:space="preserve">EXP-9548</t>
  </si>
  <si>
    <t xml:space="preserve">E030</t>
  </si>
  <si>
    <t xml:space="preserve">EXP-8616</t>
  </si>
  <si>
    <t xml:space="preserve">E031</t>
  </si>
  <si>
    <t xml:space="preserve">EXP-2419</t>
  </si>
  <si>
    <t xml:space="preserve">E032</t>
  </si>
  <si>
    <t xml:space="preserve">EXP-7209</t>
  </si>
  <si>
    <t xml:space="preserve">E033</t>
  </si>
  <si>
    <t xml:space="preserve">EXP-3979</t>
  </si>
  <si>
    <t xml:space="preserve">E034</t>
  </si>
  <si>
    <t xml:space="preserve">EXP-6576</t>
  </si>
  <si>
    <t xml:space="preserve">E035</t>
  </si>
  <si>
    <t xml:space="preserve">EXP-9464</t>
  </si>
  <si>
    <t xml:space="preserve">E036</t>
  </si>
  <si>
    <t xml:space="preserve">EXP-9004</t>
  </si>
  <si>
    <t xml:space="preserve">E037</t>
  </si>
  <si>
    <t xml:space="preserve">EXP-9041</t>
  </si>
  <si>
    <t xml:space="preserve">E038</t>
  </si>
  <si>
    <t xml:space="preserve">EXP-4630</t>
  </si>
  <si>
    <t xml:space="preserve">E039</t>
  </si>
  <si>
    <t xml:space="preserve">EXP-7046</t>
  </si>
  <si>
    <t xml:space="preserve">E040</t>
  </si>
  <si>
    <t xml:space="preserve">EXP-6419</t>
  </si>
  <si>
    <t xml:space="preserve">E041</t>
  </si>
  <si>
    <t xml:space="preserve">EXP-5118</t>
  </si>
  <si>
    <t xml:space="preserve">E042</t>
  </si>
  <si>
    <t xml:space="preserve">EXP-6169</t>
  </si>
  <si>
    <t xml:space="preserve">E043</t>
  </si>
  <si>
    <t xml:space="preserve">EXP-8933</t>
  </si>
  <si>
    <t xml:space="preserve">E044</t>
  </si>
  <si>
    <t xml:space="preserve">EXP-5853</t>
  </si>
  <si>
    <t xml:space="preserve">E045</t>
  </si>
  <si>
    <t xml:space="preserve">EXP-1231</t>
  </si>
  <si>
    <t xml:space="preserve">E046</t>
  </si>
  <si>
    <t xml:space="preserve">EXP-1893</t>
  </si>
  <si>
    <t xml:space="preserve">E047</t>
  </si>
  <si>
    <t xml:space="preserve">EXP-9042</t>
  </si>
  <si>
    <t xml:space="preserve">E048</t>
  </si>
  <si>
    <t xml:space="preserve">EXP-8843</t>
  </si>
  <si>
    <t xml:space="preserve">E049</t>
  </si>
  <si>
    <t xml:space="preserve">EXP-5136</t>
  </si>
  <si>
    <t xml:space="preserve">E050</t>
  </si>
  <si>
    <t xml:space="preserve">EXP-9056</t>
  </si>
  <si>
    <t xml:space="preserve">TOTAL EXPENSES</t>
  </si>
  <si>
    <t xml:space="preserve">💳  CUSTOMER RECEIVABLES  (Credit Sales)</t>
  </si>
  <si>
    <t xml:space="preserve">   Outstanding balances from credit customers</t>
  </si>
  <si>
    <t xml:space="preserve">Total Invoice</t>
  </si>
  <si>
    <t xml:space="preserve">Due Date</t>
  </si>
  <si>
    <t xml:space="preserve">Overdue</t>
  </si>
  <si>
    <t xml:space="preserve">TOTAL OUTSTANDING</t>
  </si>
  <si>
    <t xml:space="preserve">🏦  SUPPLIER PAYABLES</t>
  </si>
  <si>
    <t xml:space="preserve">   Outstanding amounts owed to suppliers</t>
  </si>
  <si>
    <t xml:space="preserve">Total Purchase</t>
  </si>
  <si>
    <t xml:space="preserve">Paid</t>
  </si>
  <si>
    <t xml:space="preserve">Outstanding</t>
  </si>
  <si>
    <t xml:space="preserve">TOTAL PAYABLES</t>
  </si>
  <si>
    <t xml:space="preserve">📊  PROFIT &amp; LOSS ANALYSIS</t>
  </si>
  <si>
    <t xml:space="preserve">   Gross Profit &amp; Net Profit — auto-linked from all sheets</t>
  </si>
  <si>
    <t xml:space="preserve">REVENUE</t>
  </si>
  <si>
    <t xml:space="preserve">Amount (PKR)</t>
  </si>
  <si>
    <t xml:space="preserve">Currency</t>
  </si>
  <si>
    <t xml:space="preserve">  Total Sales Revenue</t>
  </si>
  <si>
    <t xml:space="preserve">PKR</t>
  </si>
  <si>
    <t xml:space="preserve">  Cash Sales</t>
  </si>
  <si>
    <t xml:space="preserve">  Credit Sales</t>
  </si>
  <si>
    <t xml:space="preserve">  Bank Transfer Sales</t>
  </si>
  <si>
    <t xml:space="preserve">COST OF GOODS SOLD (COGS)</t>
  </si>
  <si>
    <t xml:space="preserve">  Total Cost of Purchases</t>
  </si>
  <si>
    <t xml:space="preserve">  Opening Inventory Value</t>
  </si>
  <si>
    <t xml:space="preserve">  Closing Inventory Value (FIFO)</t>
  </si>
  <si>
    <t xml:space="preserve">NET COGS = Purchases + Opening − Closing</t>
  </si>
  <si>
    <t xml:space="preserve">GROSS PROFIT</t>
  </si>
  <si>
    <t xml:space="preserve">  Gross Profit Margin %</t>
  </si>
  <si>
    <t xml:space="preserve">OPERATING EXPENSES</t>
  </si>
  <si>
    <t xml:space="preserve">  Rent</t>
  </si>
  <si>
    <t xml:space="preserve">  Salaries</t>
  </si>
  <si>
    <t xml:space="preserve">  Utilities</t>
  </si>
  <si>
    <t xml:space="preserve">  Marketing</t>
  </si>
  <si>
    <t xml:space="preserve">  Logistics</t>
  </si>
  <si>
    <t xml:space="preserve">  Repairs &amp; Maintenance</t>
  </si>
  <si>
    <t xml:space="preserve">  Miscellaneous</t>
  </si>
  <si>
    <t xml:space="preserve">  Office Supplies</t>
  </si>
  <si>
    <t xml:space="preserve">TOTAL OPERATING EXPENSES</t>
  </si>
  <si>
    <t xml:space="preserve">  Net Profit Margin %</t>
  </si>
  <si>
    <t xml:space="preserve">CASH FLOW INDICATORS</t>
  </si>
  <si>
    <t xml:space="preserve">  Total Receivables Outstanding</t>
  </si>
  <si>
    <t xml:space="preserve">  Total Payables Outstanding</t>
  </si>
  <si>
    <t xml:space="preserve">Net Working Capital Position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</si>
</sst>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%"/>
    <numFmt numFmtId="167" formatCode="General"/>
    <numFmt numFmtId="168" formatCode="dd\-mmm\-yyyy"/>
    <numFmt numFmtId="169" formatCode="0%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sz val="10"/>
      <color rgb="FF000080"/>
      <name val="Calibri"/>
      <family val="0"/>
      <charset val="1"/>
    </font>
    <font>
      <b val="true"/>
      <sz val="10"/>
      <color rgb="FF276749"/>
      <name val="Calibri"/>
      <family val="0"/>
      <charset val="1"/>
    </font>
    <font>
      <b val="true"/>
      <sz val="20"/>
      <color rgb="FFF6E05E"/>
      <name val="Calibri"/>
      <family val="0"/>
      <charset val="1"/>
    </font>
    <font>
      <sz val="11"/>
      <color rgb="FFCBD5E0"/>
      <name val="Calibri"/>
      <family val="0"/>
      <charset val="1"/>
    </font>
    <font>
      <sz val="9"/>
      <color rgb="FFA0AEC0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b val="true"/>
      <sz val="16"/>
      <color rgb="FFF6E05E"/>
      <name val="Calibri"/>
      <family val="0"/>
      <charset val="1"/>
    </font>
    <font>
      <i val="true"/>
      <sz val="8"/>
      <color rgb="FF68D391"/>
      <name val="Calibri"/>
      <family val="0"/>
      <charset val="1"/>
    </font>
    <font>
      <b val="true"/>
      <sz val="16"/>
      <color rgb="FFF6AD55"/>
      <name val="Calibri"/>
      <family val="0"/>
      <charset val="1"/>
    </font>
    <font>
      <b val="true"/>
      <sz val="16"/>
      <color rgb="FF76E4F7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sz val="10"/>
      <name val="Calibri"/>
      <family val="0"/>
      <charset val="1"/>
    </font>
    <font>
      <b val="true"/>
      <sz val="9"/>
      <name val="Calibri"/>
      <family val="0"/>
      <charset val="1"/>
    </font>
    <font>
      <sz val="9"/>
      <name val="Calibri"/>
      <family val="0"/>
      <charset val="1"/>
    </font>
    <font>
      <b val="true"/>
      <sz val="10"/>
      <name val="Calibri"/>
      <family val="0"/>
      <charset val="1"/>
    </font>
    <font>
      <sz val="10"/>
      <color rgb="FF9B2C2C"/>
      <name val="Calibri"/>
      <family val="0"/>
      <charset val="1"/>
    </font>
    <font>
      <sz val="10"/>
      <color rgb="FF276749"/>
      <name val="Calibri"/>
      <family val="0"/>
      <charset val="1"/>
    </font>
    <font>
      <sz val="10"/>
      <color rgb="FFC05621"/>
      <name val="Calibri"/>
      <family val="0"/>
      <charset val="1"/>
    </font>
    <font>
      <b val="true"/>
      <sz val="12"/>
      <color rgb="FFF6E05E"/>
      <name val="Calibri"/>
      <family val="0"/>
      <charset val="1"/>
    </font>
    <font>
      <b val="true"/>
      <sz val="10"/>
      <color rgb="FF9B2C2C"/>
      <name val="Calibri"/>
      <family val="0"/>
      <charset val="1"/>
    </font>
    <font>
      <b val="true"/>
      <sz val="10"/>
      <color rgb="FF000080"/>
      <name val="Calibri"/>
      <family val="0"/>
      <charset val="1"/>
    </font>
    <font>
      <sz val="9"/>
      <color rgb="FF718096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b val="true"/>
      <sz val="14"/>
      <color rgb="FFF6E05E"/>
      <name val="Calibri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1B3A6B"/>
        <bgColor rgb="FF2C5282"/>
      </patternFill>
    </fill>
    <fill>
      <patternFill patternType="solid">
        <fgColor rgb="FF2C5282"/>
        <bgColor rgb="FF285E61"/>
      </patternFill>
    </fill>
    <fill>
      <patternFill patternType="solid">
        <fgColor rgb="FFFFFFFF"/>
        <bgColor rgb="FFF7FAFC"/>
      </patternFill>
    </fill>
    <fill>
      <patternFill patternType="solid">
        <fgColor rgb="FFF7FAFC"/>
        <bgColor rgb="FFF5F3FF"/>
      </patternFill>
    </fill>
    <fill>
      <patternFill patternType="solid">
        <fgColor rgb="FF285E61"/>
        <bgColor rgb="FF276749"/>
      </patternFill>
    </fill>
    <fill>
      <patternFill patternType="solid">
        <fgColor rgb="FF3182CE"/>
        <bgColor rgb="FF0066CC"/>
      </patternFill>
    </fill>
    <fill>
      <patternFill patternType="solid">
        <fgColor rgb="FF276749"/>
        <bgColor rgb="FF285E61"/>
      </patternFill>
    </fill>
    <fill>
      <patternFill patternType="solid">
        <fgColor rgb="FF553C9A"/>
        <bgColor rgb="FF2C5282"/>
      </patternFill>
    </fill>
    <fill>
      <patternFill patternType="solid">
        <fgColor rgb="FFC05621"/>
        <bgColor rgb="FF9B2C2C"/>
      </patternFill>
    </fill>
    <fill>
      <patternFill patternType="solid">
        <fgColor rgb="FF9B2C2C"/>
        <bgColor rgb="FF993366"/>
      </patternFill>
    </fill>
    <fill>
      <patternFill patternType="solid">
        <fgColor rgb="FFEBF8FF"/>
        <bgColor rgb="FFE6FFFA"/>
      </patternFill>
    </fill>
    <fill>
      <patternFill patternType="solid">
        <fgColor rgb="FFFFF5F5"/>
        <bgColor rgb="FFFFFAF0"/>
      </patternFill>
    </fill>
    <fill>
      <patternFill patternType="solid">
        <fgColor rgb="FFF5F3FF"/>
        <bgColor rgb="FFF7FAFC"/>
      </patternFill>
    </fill>
    <fill>
      <patternFill patternType="solid">
        <fgColor rgb="FFE6FFFA"/>
        <bgColor rgb="FFF0FFF4"/>
      </patternFill>
    </fill>
    <fill>
      <patternFill patternType="solid">
        <fgColor rgb="FFF0FFF4"/>
        <bgColor rgb="FFE6FFFA"/>
      </patternFill>
    </fill>
    <fill>
      <patternFill patternType="solid">
        <fgColor rgb="FFFFFAF0"/>
        <bgColor rgb="FFFFF5F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 diagonalUp="false" diagonalDown="false">
      <left style="thin">
        <color rgb="FFCBD5E0"/>
      </left>
      <right/>
      <top style="thin">
        <color rgb="FFCBD5E0"/>
      </top>
      <bottom style="thin">
        <color rgb="FFCBD5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9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9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1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9" fillId="1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1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4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4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1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9" fillId="1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4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15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9" fillId="1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15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9" fillId="1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3" fillId="4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1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4" fillId="1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5" fillId="4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7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6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6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8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6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6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7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7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1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1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1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8" fillId="1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7" fillId="1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7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6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3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6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1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7" fillId="1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9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9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6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7" fillId="1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9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9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30" fillId="8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1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76749"/>
      <rgbColor rgb="FFA0AEC0"/>
      <rgbColor rgb="FF718096"/>
      <rgbColor rgb="FF9999FF"/>
      <rgbColor rgb="FF993366"/>
      <rgbColor rgb="FFFFFAF0"/>
      <rgbColor rgb="FFE6FFFA"/>
      <rgbColor rgb="FF660066"/>
      <rgbColor rgb="FFFF8080"/>
      <rgbColor rgb="FF0066CC"/>
      <rgbColor rgb="FFCBD5E0"/>
      <rgbColor rgb="FF000080"/>
      <rgbColor rgb="FFFF00FF"/>
      <rgbColor rgb="FFFFFF00"/>
      <rgbColor rgb="FF00FFFF"/>
      <rgbColor rgb="FF800080"/>
      <rgbColor rgb="FF800000"/>
      <rgbColor rgb="FF285E61"/>
      <rgbColor rgb="FF0000FF"/>
      <rgbColor rgb="FF00CCFF"/>
      <rgbColor rgb="FFEBF8FF"/>
      <rgbColor rgb="FFF0FFF4"/>
      <rgbColor rgb="FFFFF5F5"/>
      <rgbColor rgb="FF76E4F7"/>
      <rgbColor rgb="FFF5F3FF"/>
      <rgbColor rgb="FFF7FAFC"/>
      <rgbColor rgb="FFF6E05E"/>
      <rgbColor rgb="FF3182CE"/>
      <rgbColor rgb="FF68D391"/>
      <rgbColor rgb="FF99CC00"/>
      <rgbColor rgb="FFFFCC00"/>
      <rgbColor rgb="FFF6AD55"/>
      <rgbColor rgb="FFC05621"/>
      <rgbColor rgb="FF666699"/>
      <rgbColor rgb="FF969696"/>
      <rgbColor rgb="FF1B3A6B"/>
      <rgbColor rgb="FF339966"/>
      <rgbColor rgb="FF003300"/>
      <rgbColor rgb="FF333300"/>
      <rgbColor rgb="FF9B2C2C"/>
      <rgbColor rgb="FF993366"/>
      <rgbColor rgb="FF553C9A"/>
      <rgbColor rgb="FF2C528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5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30"/>
    <col collapsed="false" customWidth="true" hidden="false" outlineLevel="0" max="11" min="11" style="0" width="1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</row>
    <row r="4" customFormat="false" ht="15" hidden="false" customHeight="false" outlineLevel="0" collapsed="false">
      <c r="A4" s="4" t="s">
        <v>13</v>
      </c>
      <c r="B4" s="4" t="s">
        <v>14</v>
      </c>
      <c r="C4" s="4" t="s">
        <v>15</v>
      </c>
      <c r="D4" s="4" t="s">
        <v>16</v>
      </c>
      <c r="E4" s="4" t="s">
        <v>6</v>
      </c>
      <c r="F4" s="5" t="n">
        <v>85000</v>
      </c>
      <c r="G4" s="5" t="n">
        <v>110000</v>
      </c>
      <c r="H4" s="6" t="n">
        <v>5</v>
      </c>
      <c r="I4" s="4" t="s">
        <v>17</v>
      </c>
      <c r="J4" s="4" t="s">
        <v>18</v>
      </c>
      <c r="K4" s="7" t="s">
        <v>19</v>
      </c>
    </row>
    <row r="5" customFormat="false" ht="15" hidden="false" customHeight="false" outlineLevel="0" collapsed="false">
      <c r="A5" s="8" t="s">
        <v>20</v>
      </c>
      <c r="B5" s="8" t="s">
        <v>21</v>
      </c>
      <c r="C5" s="8" t="s">
        <v>15</v>
      </c>
      <c r="D5" s="8" t="s">
        <v>22</v>
      </c>
      <c r="E5" s="8" t="s">
        <v>6</v>
      </c>
      <c r="F5" s="9" t="n">
        <v>195000</v>
      </c>
      <c r="G5" s="9" t="n">
        <v>240000</v>
      </c>
      <c r="H5" s="10" t="n">
        <v>3</v>
      </c>
      <c r="I5" s="8" t="s">
        <v>23</v>
      </c>
      <c r="J5" s="8" t="s">
        <v>24</v>
      </c>
      <c r="K5" s="11" t="s">
        <v>19</v>
      </c>
    </row>
    <row r="6" customFormat="false" ht="15" hidden="false" customHeight="false" outlineLevel="0" collapsed="false">
      <c r="A6" s="4" t="s">
        <v>25</v>
      </c>
      <c r="B6" s="4" t="s">
        <v>26</v>
      </c>
      <c r="C6" s="4" t="s">
        <v>15</v>
      </c>
      <c r="D6" s="4" t="s">
        <v>27</v>
      </c>
      <c r="E6" s="4" t="s">
        <v>6</v>
      </c>
      <c r="F6" s="5" t="n">
        <v>35000</v>
      </c>
      <c r="G6" s="5" t="n">
        <v>45000</v>
      </c>
      <c r="H6" s="6" t="n">
        <v>10</v>
      </c>
      <c r="I6" s="4" t="s">
        <v>28</v>
      </c>
      <c r="J6" s="4" t="s">
        <v>29</v>
      </c>
      <c r="K6" s="7" t="s">
        <v>19</v>
      </c>
    </row>
    <row r="7" customFormat="false" ht="15" hidden="false" customHeight="false" outlineLevel="0" collapsed="false">
      <c r="A7" s="8" t="s">
        <v>30</v>
      </c>
      <c r="B7" s="8" t="s">
        <v>31</v>
      </c>
      <c r="C7" s="8" t="s">
        <v>32</v>
      </c>
      <c r="D7" s="8" t="s">
        <v>16</v>
      </c>
      <c r="E7" s="8" t="s">
        <v>6</v>
      </c>
      <c r="F7" s="9" t="n">
        <v>95000</v>
      </c>
      <c r="G7" s="9" t="n">
        <v>125000</v>
      </c>
      <c r="H7" s="10" t="n">
        <v>3</v>
      </c>
      <c r="I7" s="8" t="s">
        <v>17</v>
      </c>
      <c r="J7" s="8" t="s">
        <v>33</v>
      </c>
      <c r="K7" s="11" t="s">
        <v>19</v>
      </c>
    </row>
    <row r="8" customFormat="false" ht="15" hidden="false" customHeight="false" outlineLevel="0" collapsed="false">
      <c r="A8" s="4" t="s">
        <v>34</v>
      </c>
      <c r="B8" s="4" t="s">
        <v>35</v>
      </c>
      <c r="C8" s="4" t="s">
        <v>32</v>
      </c>
      <c r="D8" s="4" t="s">
        <v>36</v>
      </c>
      <c r="E8" s="4" t="s">
        <v>6</v>
      </c>
      <c r="F8" s="5" t="n">
        <v>85000</v>
      </c>
      <c r="G8" s="5" t="n">
        <v>110000</v>
      </c>
      <c r="H8" s="6" t="n">
        <v>3</v>
      </c>
      <c r="I8" s="4" t="s">
        <v>37</v>
      </c>
      <c r="J8" s="4" t="s">
        <v>38</v>
      </c>
      <c r="K8" s="7" t="s">
        <v>19</v>
      </c>
    </row>
    <row r="9" customFormat="false" ht="15" hidden="false" customHeight="false" outlineLevel="0" collapsed="false">
      <c r="A9" s="8" t="s">
        <v>39</v>
      </c>
      <c r="B9" s="8" t="s">
        <v>40</v>
      </c>
      <c r="C9" s="8" t="s">
        <v>32</v>
      </c>
      <c r="D9" s="8" t="s">
        <v>41</v>
      </c>
      <c r="E9" s="8" t="s">
        <v>6</v>
      </c>
      <c r="F9" s="9" t="n">
        <v>42000</v>
      </c>
      <c r="G9" s="9" t="n">
        <v>58000</v>
      </c>
      <c r="H9" s="10" t="n">
        <v>5</v>
      </c>
      <c r="I9" s="8" t="s">
        <v>42</v>
      </c>
      <c r="J9" s="8" t="s">
        <v>43</v>
      </c>
      <c r="K9" s="11" t="s">
        <v>19</v>
      </c>
    </row>
    <row r="10" customFormat="false" ht="15" hidden="false" customHeight="false" outlineLevel="0" collapsed="false">
      <c r="A10" s="4" t="s">
        <v>44</v>
      </c>
      <c r="B10" s="4" t="s">
        <v>45</v>
      </c>
      <c r="C10" s="4" t="s">
        <v>46</v>
      </c>
      <c r="D10" s="4" t="s">
        <v>47</v>
      </c>
      <c r="E10" s="4" t="s">
        <v>6</v>
      </c>
      <c r="F10" s="5" t="n">
        <v>78000</v>
      </c>
      <c r="G10" s="5" t="n">
        <v>99000</v>
      </c>
      <c r="H10" s="6" t="n">
        <v>4</v>
      </c>
      <c r="I10" s="4" t="s">
        <v>48</v>
      </c>
      <c r="J10" s="4" t="s">
        <v>49</v>
      </c>
      <c r="K10" s="7" t="s">
        <v>19</v>
      </c>
    </row>
    <row r="11" customFormat="false" ht="15" hidden="false" customHeight="false" outlineLevel="0" collapsed="false">
      <c r="A11" s="8" t="s">
        <v>50</v>
      </c>
      <c r="B11" s="8" t="s">
        <v>51</v>
      </c>
      <c r="C11" s="8" t="s">
        <v>46</v>
      </c>
      <c r="D11" s="8" t="s">
        <v>52</v>
      </c>
      <c r="E11" s="8" t="s">
        <v>6</v>
      </c>
      <c r="F11" s="9" t="n">
        <v>72000</v>
      </c>
      <c r="G11" s="9" t="n">
        <v>92000</v>
      </c>
      <c r="H11" s="10" t="n">
        <v>4</v>
      </c>
      <c r="I11" s="8" t="s">
        <v>48</v>
      </c>
      <c r="J11" s="8" t="s">
        <v>53</v>
      </c>
      <c r="K11" s="11" t="s">
        <v>19</v>
      </c>
    </row>
    <row r="12" customFormat="false" ht="15" hidden="false" customHeight="false" outlineLevel="0" collapsed="false">
      <c r="A12" s="4" t="s">
        <v>54</v>
      </c>
      <c r="B12" s="4" t="s">
        <v>55</v>
      </c>
      <c r="C12" s="4" t="s">
        <v>46</v>
      </c>
      <c r="D12" s="4" t="s">
        <v>56</v>
      </c>
      <c r="E12" s="4" t="s">
        <v>6</v>
      </c>
      <c r="F12" s="5" t="n">
        <v>68000</v>
      </c>
      <c r="G12" s="5" t="n">
        <v>88000</v>
      </c>
      <c r="H12" s="6" t="n">
        <v>5</v>
      </c>
      <c r="I12" s="4" t="s">
        <v>57</v>
      </c>
      <c r="J12" s="4" t="s">
        <v>58</v>
      </c>
      <c r="K12" s="7" t="s">
        <v>19</v>
      </c>
    </row>
    <row r="13" customFormat="false" ht="15" hidden="false" customHeight="false" outlineLevel="0" collapsed="false">
      <c r="A13" s="8" t="s">
        <v>59</v>
      </c>
      <c r="B13" s="8" t="s">
        <v>60</v>
      </c>
      <c r="C13" s="8" t="s">
        <v>46</v>
      </c>
      <c r="D13" s="8" t="s">
        <v>22</v>
      </c>
      <c r="E13" s="8" t="s">
        <v>6</v>
      </c>
      <c r="F13" s="9" t="n">
        <v>185000</v>
      </c>
      <c r="G13" s="9" t="n">
        <v>225000</v>
      </c>
      <c r="H13" s="10" t="n">
        <v>2</v>
      </c>
      <c r="I13" s="8" t="s">
        <v>23</v>
      </c>
      <c r="J13" s="8" t="s">
        <v>61</v>
      </c>
      <c r="K13" s="11" t="s">
        <v>19</v>
      </c>
    </row>
    <row r="14" customFormat="false" ht="15" hidden="false" customHeight="false" outlineLevel="0" collapsed="false">
      <c r="A14" s="4" t="s">
        <v>62</v>
      </c>
      <c r="B14" s="4" t="s">
        <v>63</v>
      </c>
      <c r="C14" s="4" t="s">
        <v>64</v>
      </c>
      <c r="D14" s="4" t="s">
        <v>16</v>
      </c>
      <c r="E14" s="4" t="s">
        <v>6</v>
      </c>
      <c r="F14" s="5" t="n">
        <v>95000</v>
      </c>
      <c r="G14" s="5" t="n">
        <v>120000</v>
      </c>
      <c r="H14" s="6" t="n">
        <v>3</v>
      </c>
      <c r="I14" s="4" t="s">
        <v>17</v>
      </c>
      <c r="J14" s="4" t="s">
        <v>65</v>
      </c>
      <c r="K14" s="7" t="s">
        <v>19</v>
      </c>
    </row>
    <row r="15" customFormat="false" ht="15" hidden="false" customHeight="false" outlineLevel="0" collapsed="false">
      <c r="A15" s="8" t="s">
        <v>66</v>
      </c>
      <c r="B15" s="8" t="s">
        <v>67</v>
      </c>
      <c r="C15" s="8" t="s">
        <v>64</v>
      </c>
      <c r="D15" s="8" t="s">
        <v>22</v>
      </c>
      <c r="E15" s="8" t="s">
        <v>6</v>
      </c>
      <c r="F15" s="9" t="n">
        <v>120000</v>
      </c>
      <c r="G15" s="9" t="n">
        <v>150000</v>
      </c>
      <c r="H15" s="10" t="n">
        <v>3</v>
      </c>
      <c r="I15" s="8" t="s">
        <v>23</v>
      </c>
      <c r="J15" s="8" t="s">
        <v>68</v>
      </c>
      <c r="K15" s="11" t="s">
        <v>19</v>
      </c>
    </row>
    <row r="16" customFormat="false" ht="15" hidden="false" customHeight="false" outlineLevel="0" collapsed="false">
      <c r="A16" s="4" t="s">
        <v>69</v>
      </c>
      <c r="B16" s="4" t="s">
        <v>70</v>
      </c>
      <c r="C16" s="4" t="s">
        <v>71</v>
      </c>
      <c r="D16" s="4" t="s">
        <v>16</v>
      </c>
      <c r="E16" s="4" t="s">
        <v>6</v>
      </c>
      <c r="F16" s="5" t="n">
        <v>88000</v>
      </c>
      <c r="G16" s="5" t="n">
        <v>115000</v>
      </c>
      <c r="H16" s="6" t="n">
        <v>3</v>
      </c>
      <c r="I16" s="4" t="s">
        <v>17</v>
      </c>
      <c r="J16" s="4" t="s">
        <v>72</v>
      </c>
      <c r="K16" s="7" t="s">
        <v>19</v>
      </c>
    </row>
    <row r="17" customFormat="false" ht="15" hidden="false" customHeight="false" outlineLevel="0" collapsed="false">
      <c r="A17" s="8" t="s">
        <v>73</v>
      </c>
      <c r="B17" s="8" t="s">
        <v>74</v>
      </c>
      <c r="C17" s="8" t="s">
        <v>71</v>
      </c>
      <c r="D17" s="8" t="s">
        <v>75</v>
      </c>
      <c r="E17" s="8" t="s">
        <v>6</v>
      </c>
      <c r="F17" s="9" t="n">
        <v>65000</v>
      </c>
      <c r="G17" s="9" t="n">
        <v>85000</v>
      </c>
      <c r="H17" s="10" t="n">
        <v>4</v>
      </c>
      <c r="I17" s="8" t="s">
        <v>76</v>
      </c>
      <c r="J17" s="8" t="s">
        <v>77</v>
      </c>
      <c r="K17" s="11" t="s">
        <v>19</v>
      </c>
    </row>
    <row r="18" customFormat="false" ht="15" hidden="false" customHeight="false" outlineLevel="0" collapsed="false">
      <c r="A18" s="4" t="s">
        <v>78</v>
      </c>
      <c r="B18" s="4" t="s">
        <v>79</v>
      </c>
      <c r="C18" s="4" t="s">
        <v>80</v>
      </c>
      <c r="D18" s="4" t="s">
        <v>81</v>
      </c>
      <c r="E18" s="4" t="s">
        <v>6</v>
      </c>
      <c r="F18" s="5" t="n">
        <v>75000</v>
      </c>
      <c r="G18" s="5" t="n">
        <v>98000</v>
      </c>
      <c r="H18" s="6" t="n">
        <v>3</v>
      </c>
      <c r="I18" s="4" t="s">
        <v>82</v>
      </c>
      <c r="J18" s="4" t="s">
        <v>83</v>
      </c>
      <c r="K18" s="7" t="s">
        <v>19</v>
      </c>
    </row>
    <row r="19" customFormat="false" ht="15" hidden="false" customHeight="false" outlineLevel="0" collapsed="false">
      <c r="A19" s="8" t="s">
        <v>84</v>
      </c>
      <c r="B19" s="8" t="s">
        <v>85</v>
      </c>
      <c r="C19" s="8" t="s">
        <v>80</v>
      </c>
      <c r="D19" s="8" t="s">
        <v>86</v>
      </c>
      <c r="E19" s="8" t="s">
        <v>6</v>
      </c>
      <c r="F19" s="9" t="n">
        <v>62000</v>
      </c>
      <c r="G19" s="9" t="n">
        <v>82000</v>
      </c>
      <c r="H19" s="10" t="n">
        <v>4</v>
      </c>
      <c r="I19" s="8" t="s">
        <v>82</v>
      </c>
      <c r="J19" s="8" t="s">
        <v>87</v>
      </c>
      <c r="K19" s="11" t="s">
        <v>19</v>
      </c>
    </row>
    <row r="20" customFormat="false" ht="15" hidden="false" customHeight="false" outlineLevel="0" collapsed="false">
      <c r="A20" s="4" t="s">
        <v>88</v>
      </c>
      <c r="B20" s="4" t="s">
        <v>89</v>
      </c>
      <c r="C20" s="4" t="s">
        <v>90</v>
      </c>
      <c r="D20" s="4" t="s">
        <v>36</v>
      </c>
      <c r="E20" s="4" t="s">
        <v>6</v>
      </c>
      <c r="F20" s="5" t="n">
        <v>32000</v>
      </c>
      <c r="G20" s="5" t="n">
        <v>45000</v>
      </c>
      <c r="H20" s="6" t="n">
        <v>8</v>
      </c>
      <c r="I20" s="4" t="s">
        <v>37</v>
      </c>
      <c r="J20" s="4" t="s">
        <v>91</v>
      </c>
      <c r="K20" s="7" t="s">
        <v>19</v>
      </c>
    </row>
    <row r="21" customFormat="false" ht="15" hidden="false" customHeight="false" outlineLevel="0" collapsed="false">
      <c r="A21" s="8" t="s">
        <v>92</v>
      </c>
      <c r="B21" s="8" t="s">
        <v>93</v>
      </c>
      <c r="C21" s="8" t="s">
        <v>90</v>
      </c>
      <c r="D21" s="8" t="s">
        <v>94</v>
      </c>
      <c r="E21" s="8" t="s">
        <v>6</v>
      </c>
      <c r="F21" s="9" t="n">
        <v>18000</v>
      </c>
      <c r="G21" s="9" t="n">
        <v>26000</v>
      </c>
      <c r="H21" s="10" t="n">
        <v>10</v>
      </c>
      <c r="I21" s="8" t="s">
        <v>95</v>
      </c>
      <c r="J21" s="8" t="s">
        <v>96</v>
      </c>
      <c r="K21" s="11" t="s">
        <v>19</v>
      </c>
    </row>
    <row r="22" customFormat="false" ht="15" hidden="false" customHeight="false" outlineLevel="0" collapsed="false">
      <c r="A22" s="4" t="s">
        <v>97</v>
      </c>
      <c r="B22" s="4" t="s">
        <v>98</v>
      </c>
      <c r="C22" s="4" t="s">
        <v>99</v>
      </c>
      <c r="D22" s="4" t="s">
        <v>100</v>
      </c>
      <c r="E22" s="4" t="s">
        <v>6</v>
      </c>
      <c r="F22" s="5" t="n">
        <v>5500</v>
      </c>
      <c r="G22" s="5" t="n">
        <v>8000</v>
      </c>
      <c r="H22" s="6" t="n">
        <v>15</v>
      </c>
      <c r="I22" s="4" t="s">
        <v>101</v>
      </c>
      <c r="J22" s="4" t="s">
        <v>102</v>
      </c>
      <c r="K22" s="7" t="s">
        <v>19</v>
      </c>
    </row>
    <row r="23" customFormat="false" ht="15" hidden="false" customHeight="false" outlineLevel="0" collapsed="false">
      <c r="A23" s="8" t="s">
        <v>103</v>
      </c>
      <c r="B23" s="8" t="s">
        <v>104</v>
      </c>
      <c r="C23" s="8" t="s">
        <v>99</v>
      </c>
      <c r="D23" s="8" t="s">
        <v>105</v>
      </c>
      <c r="E23" s="8" t="s">
        <v>6</v>
      </c>
      <c r="F23" s="9" t="n">
        <v>7500</v>
      </c>
      <c r="G23" s="9" t="n">
        <v>11000</v>
      </c>
      <c r="H23" s="10" t="n">
        <v>10</v>
      </c>
      <c r="I23" s="8" t="s">
        <v>106</v>
      </c>
      <c r="J23" s="8" t="s">
        <v>107</v>
      </c>
      <c r="K23" s="11" t="s">
        <v>19</v>
      </c>
    </row>
    <row r="24" customFormat="false" ht="15" hidden="false" customHeight="false" outlineLevel="0" collapsed="false">
      <c r="A24" s="4" t="s">
        <v>108</v>
      </c>
      <c r="B24" s="4" t="s">
        <v>109</v>
      </c>
      <c r="C24" s="4" t="s">
        <v>110</v>
      </c>
      <c r="D24" s="4" t="s">
        <v>111</v>
      </c>
      <c r="E24" s="4" t="s">
        <v>6</v>
      </c>
      <c r="F24" s="5" t="n">
        <v>12000</v>
      </c>
      <c r="G24" s="5" t="n">
        <v>17000</v>
      </c>
      <c r="H24" s="6" t="n">
        <v>12</v>
      </c>
      <c r="I24" s="4" t="s">
        <v>112</v>
      </c>
      <c r="J24" s="4" t="s">
        <v>113</v>
      </c>
      <c r="K24" s="7" t="s">
        <v>19</v>
      </c>
    </row>
    <row r="25" customFormat="false" ht="15" hidden="false" customHeight="false" outlineLevel="0" collapsed="false">
      <c r="A25" s="8" t="s">
        <v>114</v>
      </c>
      <c r="B25" s="8" t="s">
        <v>115</v>
      </c>
      <c r="C25" s="8" t="s">
        <v>110</v>
      </c>
      <c r="D25" s="8" t="s">
        <v>22</v>
      </c>
      <c r="E25" s="8" t="s">
        <v>6</v>
      </c>
      <c r="F25" s="9" t="n">
        <v>15000</v>
      </c>
      <c r="G25" s="9" t="n">
        <v>21000</v>
      </c>
      <c r="H25" s="10" t="n">
        <v>8</v>
      </c>
      <c r="I25" s="8" t="s">
        <v>23</v>
      </c>
      <c r="J25" s="8" t="s">
        <v>116</v>
      </c>
      <c r="K25" s="11" t="s">
        <v>19</v>
      </c>
    </row>
    <row r="26" customFormat="false" ht="15" hidden="false" customHeight="false" outlineLevel="0" collapsed="false">
      <c r="A26" s="4" t="s">
        <v>117</v>
      </c>
      <c r="B26" s="4" t="s">
        <v>118</v>
      </c>
      <c r="C26" s="4" t="s">
        <v>119</v>
      </c>
      <c r="D26" s="4" t="s">
        <v>16</v>
      </c>
      <c r="E26" s="4" t="s">
        <v>6</v>
      </c>
      <c r="F26" s="5" t="n">
        <v>18000</v>
      </c>
      <c r="G26" s="5" t="n">
        <v>25000</v>
      </c>
      <c r="H26" s="6" t="n">
        <v>10</v>
      </c>
      <c r="I26" s="4" t="s">
        <v>17</v>
      </c>
      <c r="J26" s="4" t="s">
        <v>120</v>
      </c>
      <c r="K26" s="7" t="s">
        <v>19</v>
      </c>
    </row>
    <row r="27" customFormat="false" ht="15" hidden="false" customHeight="false" outlineLevel="0" collapsed="false">
      <c r="A27" s="8" t="s">
        <v>121</v>
      </c>
      <c r="B27" s="8" t="s">
        <v>122</v>
      </c>
      <c r="C27" s="8" t="s">
        <v>119</v>
      </c>
      <c r="D27" s="8" t="s">
        <v>123</v>
      </c>
      <c r="E27" s="8" t="s">
        <v>6</v>
      </c>
      <c r="F27" s="9" t="n">
        <v>12000</v>
      </c>
      <c r="G27" s="9" t="n">
        <v>17000</v>
      </c>
      <c r="H27" s="10" t="n">
        <v>10</v>
      </c>
      <c r="I27" s="8" t="s">
        <v>124</v>
      </c>
      <c r="J27" s="8" t="s">
        <v>125</v>
      </c>
      <c r="K27" s="11" t="s">
        <v>19</v>
      </c>
    </row>
    <row r="28" customFormat="false" ht="15" hidden="false" customHeight="false" outlineLevel="0" collapsed="false">
      <c r="A28" s="4" t="s">
        <v>126</v>
      </c>
      <c r="B28" s="4" t="s">
        <v>127</v>
      </c>
      <c r="C28" s="4" t="s">
        <v>128</v>
      </c>
      <c r="D28" s="4" t="s">
        <v>129</v>
      </c>
      <c r="E28" s="4" t="s">
        <v>6</v>
      </c>
      <c r="F28" s="5" t="n">
        <v>125000</v>
      </c>
      <c r="G28" s="5" t="n">
        <v>160000</v>
      </c>
      <c r="H28" s="6" t="n">
        <v>2</v>
      </c>
      <c r="I28" s="4" t="s">
        <v>130</v>
      </c>
      <c r="J28" s="4" t="s">
        <v>131</v>
      </c>
      <c r="K28" s="7" t="s">
        <v>19</v>
      </c>
    </row>
  </sheetData>
  <mergeCells count="2">
    <mergeCell ref="A1:K1"/>
    <mergeCell ref="A2:K2"/>
  </mergeCells>
  <dataValidations count="2">
    <dataValidation allowBlank="false" error="Invalid status" errorStyle="stop" errorTitle="Input Error" operator="between" showDropDown="false" showErrorMessage="true" showInputMessage="false" sqref="K4:K200" type="list">
      <formula1>"Active,Discontinued,Out of Stock"</formula1>
      <formula2>0</formula2>
    </dataValidation>
    <dataValidation allowBlank="false" errorStyle="stop" operator="between" showDropDown="false" showErrorMessage="false" showInputMessage="false" sqref="C4:C200" type="list">
      <formula1>"Mobile Phones,Televisions,Laptops,Tablets,Air Conditioners,Refrigerators,Headphones,Networking,Accessories,Storage,Cameras"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5"/>
    <col collapsed="false" customWidth="true" hidden="false" outlineLevel="0" max="3" min="3" style="0" width="20"/>
    <col collapsed="false" customWidth="true" hidden="false" outlineLevel="0" max="4" min="4" style="0" width="15"/>
    <col collapsed="false" customWidth="true" hidden="false" outlineLevel="0" max="5" min="5" style="0" width="28"/>
    <col collapsed="false" customWidth="true" hidden="false" outlineLevel="0" max="7" min="6" style="0" width="12"/>
    <col collapsed="false" customWidth="true" hidden="false" outlineLevel="0" max="8" min="8" style="0" width="14"/>
    <col collapsed="false" customWidth="true" hidden="false" outlineLevel="0" max="9" min="9" style="0" width="10"/>
  </cols>
  <sheetData>
    <row r="1" customFormat="false" ht="30" hidden="false" customHeight="true" outlineLevel="0" collapsed="false">
      <c r="A1" s="1" t="s">
        <v>132</v>
      </c>
      <c r="B1" s="1"/>
      <c r="C1" s="1"/>
      <c r="D1" s="1"/>
      <c r="E1" s="1"/>
      <c r="F1" s="1"/>
      <c r="G1" s="1"/>
      <c r="H1" s="1"/>
      <c r="I1" s="1"/>
    </row>
    <row r="2" customFormat="false" ht="21.75" hidden="false" customHeight="true" outlineLevel="0" collapsed="false">
      <c r="A2" s="2" t="s">
        <v>133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12" t="s">
        <v>10</v>
      </c>
      <c r="B3" s="12" t="s">
        <v>134</v>
      </c>
      <c r="C3" s="12" t="s">
        <v>135</v>
      </c>
      <c r="D3" s="12" t="s">
        <v>136</v>
      </c>
      <c r="E3" s="12" t="s">
        <v>137</v>
      </c>
      <c r="F3" s="12" t="s">
        <v>138</v>
      </c>
      <c r="G3" s="12" t="s">
        <v>139</v>
      </c>
      <c r="H3" s="12" t="s">
        <v>140</v>
      </c>
      <c r="I3" s="12" t="s">
        <v>12</v>
      </c>
    </row>
    <row r="4" customFormat="false" ht="15" hidden="false" customHeight="false" outlineLevel="0" collapsed="false">
      <c r="A4" s="4" t="s">
        <v>17</v>
      </c>
      <c r="B4" s="4" t="s">
        <v>141</v>
      </c>
      <c r="C4" s="4" t="s">
        <v>142</v>
      </c>
      <c r="D4" s="4" t="s">
        <v>143</v>
      </c>
      <c r="E4" s="4" t="s">
        <v>144</v>
      </c>
      <c r="F4" s="4" t="s">
        <v>145</v>
      </c>
      <c r="G4" s="4" t="s">
        <v>146</v>
      </c>
      <c r="H4" s="5" t="n">
        <v>5000000</v>
      </c>
      <c r="I4" s="7" t="s">
        <v>19</v>
      </c>
    </row>
    <row r="5" customFormat="false" ht="15" hidden="false" customHeight="false" outlineLevel="0" collapsed="false">
      <c r="A5" s="8" t="s">
        <v>23</v>
      </c>
      <c r="B5" s="8" t="s">
        <v>147</v>
      </c>
      <c r="C5" s="8" t="s">
        <v>148</v>
      </c>
      <c r="D5" s="8" t="s">
        <v>149</v>
      </c>
      <c r="E5" s="8" t="s">
        <v>150</v>
      </c>
      <c r="F5" s="8" t="s">
        <v>151</v>
      </c>
      <c r="G5" s="8" t="s">
        <v>152</v>
      </c>
      <c r="H5" s="9" t="n">
        <v>8000000</v>
      </c>
      <c r="I5" s="11" t="s">
        <v>19</v>
      </c>
    </row>
    <row r="6" customFormat="false" ht="15" hidden="false" customHeight="false" outlineLevel="0" collapsed="false">
      <c r="A6" s="4" t="s">
        <v>28</v>
      </c>
      <c r="B6" s="4" t="s">
        <v>153</v>
      </c>
      <c r="C6" s="4" t="s">
        <v>154</v>
      </c>
      <c r="D6" s="4" t="s">
        <v>155</v>
      </c>
      <c r="E6" s="4" t="s">
        <v>156</v>
      </c>
      <c r="F6" s="4" t="s">
        <v>145</v>
      </c>
      <c r="G6" s="4" t="s">
        <v>146</v>
      </c>
      <c r="H6" s="5" t="n">
        <v>3000000</v>
      </c>
      <c r="I6" s="7" t="s">
        <v>19</v>
      </c>
    </row>
    <row r="7" customFormat="false" ht="15" hidden="false" customHeight="false" outlineLevel="0" collapsed="false">
      <c r="A7" s="8" t="s">
        <v>37</v>
      </c>
      <c r="B7" s="8" t="s">
        <v>157</v>
      </c>
      <c r="C7" s="8" t="s">
        <v>158</v>
      </c>
      <c r="D7" s="8" t="s">
        <v>159</v>
      </c>
      <c r="E7" s="8" t="s">
        <v>160</v>
      </c>
      <c r="F7" s="8" t="s">
        <v>161</v>
      </c>
      <c r="G7" s="8" t="s">
        <v>146</v>
      </c>
      <c r="H7" s="9" t="n">
        <v>4000000</v>
      </c>
      <c r="I7" s="11" t="s">
        <v>19</v>
      </c>
    </row>
    <row r="8" customFormat="false" ht="15" hidden="false" customHeight="false" outlineLevel="0" collapsed="false">
      <c r="A8" s="4" t="s">
        <v>42</v>
      </c>
      <c r="B8" s="4" t="s">
        <v>162</v>
      </c>
      <c r="C8" s="4" t="s">
        <v>163</v>
      </c>
      <c r="D8" s="4" t="s">
        <v>164</v>
      </c>
      <c r="E8" s="4" t="s">
        <v>165</v>
      </c>
      <c r="F8" s="4" t="s">
        <v>145</v>
      </c>
      <c r="G8" s="4" t="s">
        <v>152</v>
      </c>
      <c r="H8" s="5" t="n">
        <v>3500000</v>
      </c>
      <c r="I8" s="7" t="s">
        <v>19</v>
      </c>
    </row>
    <row r="9" customFormat="false" ht="15" hidden="false" customHeight="false" outlineLevel="0" collapsed="false">
      <c r="A9" s="8" t="s">
        <v>48</v>
      </c>
      <c r="B9" s="8" t="s">
        <v>166</v>
      </c>
      <c r="C9" s="8" t="s">
        <v>167</v>
      </c>
      <c r="D9" s="8" t="s">
        <v>168</v>
      </c>
      <c r="E9" s="8" t="s">
        <v>169</v>
      </c>
      <c r="F9" s="8" t="s">
        <v>151</v>
      </c>
      <c r="G9" s="8" t="s">
        <v>146</v>
      </c>
      <c r="H9" s="9" t="n">
        <v>4500000</v>
      </c>
      <c r="I9" s="11" t="s">
        <v>19</v>
      </c>
    </row>
    <row r="10" customFormat="false" ht="15" hidden="false" customHeight="false" outlineLevel="0" collapsed="false">
      <c r="A10" s="4" t="s">
        <v>57</v>
      </c>
      <c r="B10" s="4" t="s">
        <v>170</v>
      </c>
      <c r="C10" s="4" t="s">
        <v>171</v>
      </c>
      <c r="D10" s="4" t="s">
        <v>172</v>
      </c>
      <c r="E10" s="4" t="s">
        <v>173</v>
      </c>
      <c r="F10" s="4" t="s">
        <v>145</v>
      </c>
      <c r="G10" s="4" t="s">
        <v>146</v>
      </c>
      <c r="H10" s="5" t="n">
        <v>3000000</v>
      </c>
      <c r="I10" s="7" t="s">
        <v>19</v>
      </c>
    </row>
    <row r="11" customFormat="false" ht="15" hidden="false" customHeight="false" outlineLevel="0" collapsed="false">
      <c r="A11" s="8" t="s">
        <v>76</v>
      </c>
      <c r="B11" s="8" t="s">
        <v>174</v>
      </c>
      <c r="C11" s="8" t="s">
        <v>175</v>
      </c>
      <c r="D11" s="8" t="s">
        <v>176</v>
      </c>
      <c r="E11" s="8" t="s">
        <v>177</v>
      </c>
      <c r="F11" s="8" t="s">
        <v>151</v>
      </c>
      <c r="G11" s="8" t="s">
        <v>152</v>
      </c>
      <c r="H11" s="9" t="n">
        <v>2500000</v>
      </c>
      <c r="I11" s="11" t="s">
        <v>19</v>
      </c>
    </row>
    <row r="12" customFormat="false" ht="15" hidden="false" customHeight="false" outlineLevel="0" collapsed="false">
      <c r="A12" s="4" t="s">
        <v>82</v>
      </c>
      <c r="B12" s="4" t="s">
        <v>178</v>
      </c>
      <c r="C12" s="4" t="s">
        <v>179</v>
      </c>
      <c r="D12" s="4" t="s">
        <v>180</v>
      </c>
      <c r="E12" s="4" t="s">
        <v>181</v>
      </c>
      <c r="F12" s="4" t="s">
        <v>145</v>
      </c>
      <c r="G12" s="4" t="s">
        <v>146</v>
      </c>
      <c r="H12" s="5" t="n">
        <v>2000000</v>
      </c>
      <c r="I12" s="7" t="s">
        <v>19</v>
      </c>
    </row>
    <row r="13" customFormat="false" ht="15" hidden="false" customHeight="false" outlineLevel="0" collapsed="false">
      <c r="A13" s="8" t="s">
        <v>95</v>
      </c>
      <c r="B13" s="8" t="s">
        <v>182</v>
      </c>
      <c r="C13" s="8" t="s">
        <v>183</v>
      </c>
      <c r="D13" s="8" t="s">
        <v>184</v>
      </c>
      <c r="E13" s="8" t="s">
        <v>185</v>
      </c>
      <c r="F13" s="8" t="s">
        <v>161</v>
      </c>
      <c r="G13" s="8" t="s">
        <v>146</v>
      </c>
      <c r="H13" s="9" t="n">
        <v>1500000</v>
      </c>
      <c r="I13" s="11" t="s">
        <v>19</v>
      </c>
    </row>
    <row r="14" customFormat="false" ht="15" hidden="false" customHeight="false" outlineLevel="0" collapsed="false">
      <c r="A14" s="4" t="s">
        <v>101</v>
      </c>
      <c r="B14" s="4" t="s">
        <v>186</v>
      </c>
      <c r="C14" s="4" t="s">
        <v>187</v>
      </c>
      <c r="D14" s="4" t="s">
        <v>188</v>
      </c>
      <c r="E14" s="4" t="s">
        <v>189</v>
      </c>
      <c r="F14" s="4" t="s">
        <v>145</v>
      </c>
      <c r="G14" s="4" t="s">
        <v>146</v>
      </c>
      <c r="H14" s="5" t="n">
        <v>1000000</v>
      </c>
      <c r="I14" s="7" t="s">
        <v>19</v>
      </c>
    </row>
    <row r="15" customFormat="false" ht="15" hidden="false" customHeight="false" outlineLevel="0" collapsed="false">
      <c r="A15" s="8" t="s">
        <v>106</v>
      </c>
      <c r="B15" s="8" t="s">
        <v>190</v>
      </c>
      <c r="C15" s="8" t="s">
        <v>191</v>
      </c>
      <c r="D15" s="8" t="s">
        <v>192</v>
      </c>
      <c r="E15" s="8" t="s">
        <v>193</v>
      </c>
      <c r="F15" s="8" t="s">
        <v>151</v>
      </c>
      <c r="G15" s="8" t="s">
        <v>152</v>
      </c>
      <c r="H15" s="9" t="n">
        <v>2000000</v>
      </c>
      <c r="I15" s="11" t="s">
        <v>19</v>
      </c>
    </row>
    <row r="16" customFormat="false" ht="15" hidden="false" customHeight="false" outlineLevel="0" collapsed="false">
      <c r="A16" s="4" t="s">
        <v>112</v>
      </c>
      <c r="B16" s="4" t="s">
        <v>194</v>
      </c>
      <c r="C16" s="4" t="s">
        <v>195</v>
      </c>
      <c r="D16" s="4" t="s">
        <v>196</v>
      </c>
      <c r="E16" s="4" t="s">
        <v>197</v>
      </c>
      <c r="F16" s="4" t="s">
        <v>145</v>
      </c>
      <c r="G16" s="4" t="s">
        <v>146</v>
      </c>
      <c r="H16" s="5" t="n">
        <v>1200000</v>
      </c>
      <c r="I16" s="7" t="s">
        <v>19</v>
      </c>
    </row>
    <row r="17" customFormat="false" ht="15" hidden="false" customHeight="false" outlineLevel="0" collapsed="false">
      <c r="A17" s="8" t="s">
        <v>124</v>
      </c>
      <c r="B17" s="8" t="s">
        <v>198</v>
      </c>
      <c r="C17" s="8" t="s">
        <v>199</v>
      </c>
      <c r="D17" s="8" t="s">
        <v>200</v>
      </c>
      <c r="E17" s="8" t="s">
        <v>201</v>
      </c>
      <c r="F17" s="8" t="s">
        <v>161</v>
      </c>
      <c r="G17" s="8" t="s">
        <v>146</v>
      </c>
      <c r="H17" s="9" t="n">
        <v>1000000</v>
      </c>
      <c r="I17" s="11" t="s">
        <v>19</v>
      </c>
    </row>
    <row r="18" customFormat="false" ht="15" hidden="false" customHeight="false" outlineLevel="0" collapsed="false">
      <c r="A18" s="4" t="s">
        <v>130</v>
      </c>
      <c r="B18" s="4" t="s">
        <v>202</v>
      </c>
      <c r="C18" s="4" t="s">
        <v>203</v>
      </c>
      <c r="D18" s="4" t="s">
        <v>204</v>
      </c>
      <c r="E18" s="4" t="s">
        <v>205</v>
      </c>
      <c r="F18" s="4" t="s">
        <v>151</v>
      </c>
      <c r="G18" s="4" t="s">
        <v>152</v>
      </c>
      <c r="H18" s="5" t="n">
        <v>3000000</v>
      </c>
      <c r="I18" s="7" t="s">
        <v>19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5" min="2" style="0" width="14"/>
    <col collapsed="false" customWidth="true" hidden="false" outlineLevel="0" max="6" min="6" style="0" width="5"/>
    <col collapsed="false" customWidth="true" hidden="false" outlineLevel="0" max="8" min="7" style="0" width="16"/>
    <col collapsed="false" customWidth="true" hidden="false" outlineLevel="0" max="9" min="9" style="0" width="10"/>
    <col collapsed="false" customWidth="true" hidden="false" outlineLevel="0" max="10" min="10" style="0" width="16"/>
    <col collapsed="false" customWidth="true" hidden="false" outlineLevel="0" max="11" min="11" style="0" width="10"/>
    <col collapsed="false" customWidth="true" hidden="false" outlineLevel="0" max="12" min="12" style="0" width="12"/>
  </cols>
  <sheetData>
    <row r="1" customFormat="false" ht="49.5" hidden="false" customHeight="true" outlineLevel="0" collapsed="false">
      <c r="A1" s="13" t="s">
        <v>206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customFormat="false" ht="21.75" hidden="false" customHeight="true" outlineLevel="0" collapsed="false">
      <c r="A2" s="14" t="s">
        <v>207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3" customFormat="false" ht="12" hidden="false" customHeight="true" outlineLevel="0" collapsed="false"/>
    <row r="4" customFormat="false" ht="18" hidden="false" customHeight="true" outlineLevel="0" collapsed="false">
      <c r="A4" s="15" t="s">
        <v>208</v>
      </c>
      <c r="B4" s="15"/>
      <c r="C4" s="15"/>
      <c r="D4" s="16" t="s">
        <v>209</v>
      </c>
      <c r="E4" s="16"/>
      <c r="F4" s="16"/>
      <c r="G4" s="17" t="s">
        <v>210</v>
      </c>
      <c r="H4" s="17"/>
      <c r="I4" s="17"/>
      <c r="J4" s="18" t="s">
        <v>211</v>
      </c>
      <c r="K4" s="18"/>
      <c r="L4" s="18"/>
    </row>
    <row r="5" customFormat="false" ht="31.5" hidden="false" customHeight="true" outlineLevel="0" collapsed="false">
      <c r="A5" s="19" t="n">
        <f aca="false">SUM(Sales!K4:K53)</f>
        <v>13689270</v>
      </c>
      <c r="B5" s="19"/>
      <c r="C5" s="19"/>
      <c r="D5" s="20" t="n">
        <f aca="false">SUM(Purchases!I4:I53)</f>
        <v>26453500</v>
      </c>
      <c r="E5" s="20"/>
      <c r="F5" s="20"/>
      <c r="G5" s="21" t="n">
        <f aca="false">'Profit Analysis'!C16</f>
        <v>2241270</v>
      </c>
      <c r="H5" s="21"/>
      <c r="I5" s="21"/>
      <c r="J5" s="22" t="n">
        <f aca="false">'Profit Analysis'!C30</f>
        <v>52990</v>
      </c>
      <c r="K5" s="22"/>
      <c r="L5" s="22"/>
    </row>
    <row r="6" customFormat="false" ht="13.5" hidden="false" customHeight="true" outlineLevel="0" collapsed="false">
      <c r="A6" s="23" t="s">
        <v>212</v>
      </c>
      <c r="B6" s="23"/>
      <c r="C6" s="23"/>
      <c r="D6" s="24" t="s">
        <v>213</v>
      </c>
      <c r="E6" s="24"/>
      <c r="F6" s="24"/>
      <c r="G6" s="25" t="s">
        <v>214</v>
      </c>
      <c r="H6" s="25"/>
      <c r="I6" s="25"/>
      <c r="J6" s="26" t="s">
        <v>215</v>
      </c>
      <c r="K6" s="26"/>
      <c r="L6" s="26"/>
    </row>
    <row r="8" customFormat="false" ht="18" hidden="false" customHeight="true" outlineLevel="0" collapsed="false">
      <c r="A8" s="27" t="s">
        <v>216</v>
      </c>
      <c r="B8" s="27"/>
      <c r="C8" s="27"/>
      <c r="D8" s="28" t="s">
        <v>217</v>
      </c>
      <c r="E8" s="28"/>
      <c r="F8" s="28"/>
      <c r="G8" s="29" t="s">
        <v>218</v>
      </c>
      <c r="H8" s="29"/>
      <c r="I8" s="29"/>
      <c r="J8" s="30" t="s">
        <v>219</v>
      </c>
      <c r="K8" s="30"/>
      <c r="L8" s="30"/>
    </row>
    <row r="9" customFormat="false" ht="31.5" hidden="false" customHeight="true" outlineLevel="0" collapsed="false">
      <c r="A9" s="31" t="n">
        <f aca="false">SUM(Receivables!G4:G25)</f>
        <v>3884191</v>
      </c>
      <c r="B9" s="31"/>
      <c r="C9" s="31"/>
      <c r="D9" s="32" t="n">
        <f aca="false">SUM(Payables!G4:G25)</f>
        <v>4724000</v>
      </c>
      <c r="E9" s="32"/>
      <c r="F9" s="32"/>
      <c r="G9" s="33" t="n">
        <f aca="false">SUM(Inventory!K4:K28)</f>
        <v>45410500</v>
      </c>
      <c r="H9" s="33"/>
      <c r="I9" s="33"/>
      <c r="J9" s="34" t="n">
        <f aca="false">SUM(Expenses!E4:E53)</f>
        <v>2188280</v>
      </c>
      <c r="K9" s="34"/>
      <c r="L9" s="34"/>
    </row>
    <row r="10" customFormat="false" ht="13.5" hidden="false" customHeight="true" outlineLevel="0" collapsed="false">
      <c r="A10" s="35" t="s">
        <v>220</v>
      </c>
      <c r="B10" s="35"/>
      <c r="C10" s="35"/>
      <c r="D10" s="36" t="s">
        <v>221</v>
      </c>
      <c r="E10" s="36"/>
      <c r="F10" s="36"/>
      <c r="G10" s="37" t="s">
        <v>222</v>
      </c>
      <c r="H10" s="37"/>
      <c r="I10" s="37"/>
      <c r="J10" s="38" t="s">
        <v>223</v>
      </c>
      <c r="K10" s="38"/>
      <c r="L10" s="38"/>
    </row>
    <row r="12" customFormat="false" ht="13.5" hidden="false" customHeight="true" outlineLevel="0" collapsed="false"/>
    <row r="13" customFormat="false" ht="24" hidden="false" customHeight="true" outlineLevel="0" collapsed="false">
      <c r="A13" s="39" t="s">
        <v>224</v>
      </c>
      <c r="B13" s="39"/>
      <c r="C13" s="39"/>
      <c r="D13" s="39"/>
      <c r="E13" s="39"/>
      <c r="G13" s="40" t="s">
        <v>225</v>
      </c>
      <c r="H13" s="40"/>
      <c r="I13" s="40"/>
      <c r="J13" s="40"/>
      <c r="K13" s="40"/>
      <c r="L13" s="40"/>
    </row>
    <row r="14" customFormat="false" ht="15" hidden="false" customHeight="false" outlineLevel="0" collapsed="false">
      <c r="A14" s="3" t="s">
        <v>4</v>
      </c>
      <c r="B14" s="3" t="s">
        <v>226</v>
      </c>
      <c r="C14" s="3" t="s">
        <v>227</v>
      </c>
      <c r="D14" s="41" t="s">
        <v>228</v>
      </c>
      <c r="E14" s="41"/>
      <c r="G14" s="42" t="s">
        <v>229</v>
      </c>
      <c r="H14" s="42"/>
      <c r="I14" s="42"/>
      <c r="J14" s="42" t="s">
        <v>230</v>
      </c>
      <c r="K14" s="42" t="s">
        <v>231</v>
      </c>
      <c r="L14" s="42" t="s">
        <v>232</v>
      </c>
    </row>
    <row r="15" customFormat="false" ht="15" hidden="false" customHeight="false" outlineLevel="0" collapsed="false">
      <c r="A15" s="43" t="s">
        <v>15</v>
      </c>
      <c r="B15" s="44" t="n">
        <f aca="false">SUMIF(Sales!E4:E53,"P001",Sales!G4:G53)+SUMIF(Sales!E4:E53,"P002",Sales!G4:G53)+SUMIF(Sales!E4:E53,"P003",Sales!G4:G53)</f>
        <v>17</v>
      </c>
      <c r="C15" s="45" t="n">
        <f aca="false">SUMIF(Sales!E4:E53,"P001",Sales!K4:K53)+SUMIF(Sales!E4:E53,"P002",Sales!K4:K53)+SUMIF(Sales!E4:E53,"P003",Sales!K4:K53)</f>
        <v>3001050</v>
      </c>
      <c r="D15" s="46" t="n">
        <f aca="false">C15/SUM(Sales!K4:K53)</f>
        <v>0.219226445237767</v>
      </c>
      <c r="E15" s="46"/>
      <c r="G15" s="47" t="s">
        <v>14</v>
      </c>
      <c r="H15" s="47"/>
      <c r="I15" s="47"/>
      <c r="J15" s="48" t="n">
        <f aca="false">INDEX(Inventory!G4:G28,MATCH("P001",Inventory!A4:A28,0))</f>
        <v>45</v>
      </c>
      <c r="K15" s="48" t="n">
        <v>5</v>
      </c>
      <c r="L15" s="49" t="str">
        <f aca="false">IF(J15&lt;=K15,"🔴 REORDER","✅ OK")</f>
        <v>✅ OK</v>
      </c>
    </row>
    <row r="16" customFormat="false" ht="15" hidden="false" customHeight="false" outlineLevel="0" collapsed="false">
      <c r="A16" s="50" t="s">
        <v>32</v>
      </c>
      <c r="B16" s="51" t="n">
        <f aca="false">SUMIF(Sales!E4:E53,"P004",Sales!G4:G53)+SUMIF(Sales!E4:E53,"P005",Sales!G4:G53)+SUMIF(Sales!E4:E53,"P006",Sales!G4:G53)</f>
        <v>14</v>
      </c>
      <c r="C16" s="52" t="n">
        <f aca="false">SUMIF(Sales!E4:E53,"P004",Sales!K4:K53)+SUMIF(Sales!E4:E53,"P005",Sales!K4:K53)+SUMIF(Sales!E4:E53,"P006",Sales!K4:K53)</f>
        <v>1359690</v>
      </c>
      <c r="D16" s="53" t="n">
        <f aca="false">C16/SUM(Sales!K4:K53)</f>
        <v>0.0993252379418333</v>
      </c>
      <c r="E16" s="53"/>
      <c r="G16" s="54" t="s">
        <v>21</v>
      </c>
      <c r="H16" s="54"/>
      <c r="I16" s="54"/>
      <c r="J16" s="55" t="n">
        <f aca="false">INDEX(Inventory!G4:G28,MATCH("P002",Inventory!A4:A28,0))</f>
        <v>18</v>
      </c>
      <c r="K16" s="55" t="n">
        <v>3</v>
      </c>
      <c r="L16" s="56" t="str">
        <f aca="false">IF(J16&lt;=K16,"🔴 REORDER","✅ OK")</f>
        <v>✅ OK</v>
      </c>
    </row>
    <row r="17" customFormat="false" ht="15" hidden="false" customHeight="false" outlineLevel="0" collapsed="false">
      <c r="A17" s="43" t="s">
        <v>46</v>
      </c>
      <c r="B17" s="44" t="n">
        <f aca="false">SUMIF(Sales!E4:E53,"P007",Sales!G4:G53)+SUMIF(Sales!E4:E53,"P008",Sales!G4:G53)+SUMIF(Sales!E4:E53,"P009",Sales!G4:G53)+SUMIF(Sales!E4:E53,"P010",Sales!G4:G53)</f>
        <v>43</v>
      </c>
      <c r="C17" s="45" t="n">
        <f aca="false">SUMIF(Sales!E4:E53,"P007",Sales!K4:K53)+SUMIF(Sales!E4:E53,"P008",Sales!K4:K53)+SUMIF(Sales!E4:E53,"P009",Sales!K4:K53)+SUMIF(Sales!E4:E53,"P010",Sales!K4:K53)</f>
        <v>5555680</v>
      </c>
      <c r="D17" s="46" t="n">
        <f aca="false">C17/SUM(Sales!K4:K53)</f>
        <v>0.405841947744474</v>
      </c>
      <c r="E17" s="46"/>
      <c r="G17" s="47" t="s">
        <v>26</v>
      </c>
      <c r="H17" s="47"/>
      <c r="I17" s="47"/>
      <c r="J17" s="48" t="n">
        <f aca="false">INDEX(Inventory!G4:G28,MATCH("P003",Inventory!A4:A28,0))</f>
        <v>10</v>
      </c>
      <c r="K17" s="48" t="n">
        <v>10</v>
      </c>
      <c r="L17" s="49" t="str">
        <f aca="false">IF(J17&lt;=K17,"🔴 REORDER","✅ OK")</f>
        <v>🔴 REORDER</v>
      </c>
    </row>
    <row r="18" customFormat="false" ht="15" hidden="false" customHeight="false" outlineLevel="0" collapsed="false">
      <c r="A18" s="50" t="s">
        <v>64</v>
      </c>
      <c r="B18" s="51" t="n">
        <f aca="false">SUMIF(Sales!E4:E53,"P011",Sales!G4:G53)+SUMIF(Sales!E4:E53,"P012",Sales!G4:G53)</f>
        <v>6</v>
      </c>
      <c r="C18" s="52" t="n">
        <f aca="false">SUMIF(Sales!E4:E53,"P011",Sales!K4:K53)+SUMIF(Sales!E4:E53,"P012",Sales!K4:K53)</f>
        <v>648000</v>
      </c>
      <c r="D18" s="53" t="n">
        <f aca="false">C18/SUM(Sales!K4:K53)</f>
        <v>0.0473363444507998</v>
      </c>
      <c r="E18" s="53"/>
      <c r="G18" s="54" t="s">
        <v>31</v>
      </c>
      <c r="H18" s="54"/>
      <c r="I18" s="54"/>
      <c r="J18" s="55" t="n">
        <f aca="false">INDEX(Inventory!G4:G28,MATCH("P004",Inventory!A4:A28,0))</f>
        <v>42</v>
      </c>
      <c r="K18" s="55" t="n">
        <v>3</v>
      </c>
      <c r="L18" s="56" t="str">
        <f aca="false">IF(J18&lt;=K18,"🔴 REORDER","✅ OK")</f>
        <v>✅ OK</v>
      </c>
    </row>
    <row r="19" customFormat="false" ht="15" hidden="false" customHeight="false" outlineLevel="0" collapsed="false">
      <c r="A19" s="43" t="s">
        <v>71</v>
      </c>
      <c r="B19" s="44" t="n">
        <f aca="false">SUMIF(Sales!E4:E53,"P013",Sales!G4:G53)+SUMIF(Sales!E4:E53,"P014",Sales!G4:G53)</f>
        <v>4</v>
      </c>
      <c r="C19" s="45" t="n">
        <f aca="false">SUMIF(Sales!E4:E53,"P013",Sales!K4:K53)+SUMIF(Sales!E4:E53,"P014",Sales!K4:K53)</f>
        <v>356650</v>
      </c>
      <c r="D19" s="46" t="n">
        <f aca="false">C19/SUM(Sales!K4:K53)</f>
        <v>0.0260532519265089</v>
      </c>
      <c r="E19" s="46"/>
      <c r="G19" s="47" t="s">
        <v>35</v>
      </c>
      <c r="H19" s="47"/>
      <c r="I19" s="47"/>
      <c r="J19" s="48" t="n">
        <f aca="false">INDEX(Inventory!G4:G28,MATCH("P005",Inventory!A4:A28,0))</f>
        <v>13</v>
      </c>
      <c r="K19" s="48" t="n">
        <v>3</v>
      </c>
      <c r="L19" s="49" t="str">
        <f aca="false">IF(J19&lt;=K19,"🔴 REORDER","✅ OK")</f>
        <v>✅ OK</v>
      </c>
    </row>
    <row r="20" customFormat="false" ht="15" hidden="false" customHeight="false" outlineLevel="0" collapsed="false">
      <c r="A20" s="50" t="s">
        <v>80</v>
      </c>
      <c r="B20" s="51" t="n">
        <f aca="false">SUMIF(Sales!E4:E53,"P015",Sales!G4:G53)+SUMIF(Sales!E4:E53,"P016",Sales!G4:G53)</f>
        <v>15</v>
      </c>
      <c r="C20" s="52" t="n">
        <f aca="false">SUMIF(Sales!E4:E53,"P015",Sales!K4:K53)+SUMIF(Sales!E4:E53,"P016",Sales!K4:K53)</f>
        <v>1358280</v>
      </c>
      <c r="D20" s="53" t="n">
        <f aca="false">C20/SUM(Sales!K4:K53)</f>
        <v>0.0992222375627042</v>
      </c>
      <c r="E20" s="53"/>
      <c r="G20" s="54" t="s">
        <v>40</v>
      </c>
      <c r="H20" s="54"/>
      <c r="I20" s="54"/>
      <c r="J20" s="55" t="n">
        <f aca="false">INDEX(Inventory!G4:G28,MATCH("P006",Inventory!A4:A28,0))</f>
        <v>14</v>
      </c>
      <c r="K20" s="55" t="n">
        <v>5</v>
      </c>
      <c r="L20" s="56" t="str">
        <f aca="false">IF(J20&lt;=K20,"🔴 REORDER","✅ OK")</f>
        <v>✅ OK</v>
      </c>
    </row>
    <row r="21" customFormat="false" ht="15" hidden="false" customHeight="false" outlineLevel="0" collapsed="false">
      <c r="A21" s="43" t="s">
        <v>90</v>
      </c>
      <c r="B21" s="44" t="n">
        <f aca="false">SUMIF(Sales!E4:E53,"P017",Sales!G4:G53)+SUMIF(Sales!E4:E53,"P018",Sales!G4:G53)</f>
        <v>11</v>
      </c>
      <c r="C21" s="45" t="n">
        <f aca="false">SUMIF(Sales!E4:E53,"P017",Sales!K4:K53)+SUMIF(Sales!E4:E53,"P018",Sales!K4:K53)</f>
        <v>285070</v>
      </c>
      <c r="D21" s="46" t="n">
        <f aca="false">C21/SUM(Sales!K4:K53)</f>
        <v>0.0208243390626381</v>
      </c>
      <c r="E21" s="46"/>
      <c r="G21" s="47" t="s">
        <v>45</v>
      </c>
      <c r="H21" s="47"/>
      <c r="I21" s="47"/>
      <c r="J21" s="48" t="n">
        <f aca="false">INDEX(Inventory!G4:G28,MATCH("P007",Inventory!A4:A28,0))</f>
        <v>2</v>
      </c>
      <c r="K21" s="48" t="n">
        <v>4</v>
      </c>
      <c r="L21" s="49" t="str">
        <f aca="false">IF(J21&lt;=K21,"🔴 REORDER","✅ OK")</f>
        <v>🔴 REORDER</v>
      </c>
    </row>
    <row r="22" customFormat="false" ht="15" hidden="false" customHeight="false" outlineLevel="0" collapsed="false">
      <c r="A22" s="50" t="s">
        <v>99</v>
      </c>
      <c r="B22" s="51" t="n">
        <f aca="false">SUMIF(Sales!E4:E53,"P019",Sales!G4:G53)+SUMIF(Sales!E4:E53,"P020",Sales!G4:G53)</f>
        <v>6</v>
      </c>
      <c r="C22" s="52" t="n">
        <f aca="false">SUMIF(Sales!E4:E53,"P019",Sales!K4:K53)+SUMIF(Sales!E4:E53,"P020",Sales!K4:K53)</f>
        <v>63580</v>
      </c>
      <c r="D22" s="53" t="n">
        <f aca="false">C22/SUM(Sales!K4:K53)</f>
        <v>0.00464451354966335</v>
      </c>
      <c r="E22" s="53"/>
      <c r="G22" s="54" t="s">
        <v>51</v>
      </c>
      <c r="H22" s="54"/>
      <c r="I22" s="54"/>
      <c r="J22" s="55" t="n">
        <f aca="false">INDEX(Inventory!G4:G28,MATCH("P008",Inventory!A4:A28,0))</f>
        <v>41</v>
      </c>
      <c r="K22" s="55" t="n">
        <v>4</v>
      </c>
      <c r="L22" s="56" t="str">
        <f aca="false">IF(J22&lt;=K22,"🔴 REORDER","✅ OK")</f>
        <v>✅ OK</v>
      </c>
    </row>
    <row r="23" customFormat="false" ht="15" hidden="false" customHeight="false" outlineLevel="0" collapsed="false">
      <c r="A23" s="43" t="s">
        <v>110</v>
      </c>
      <c r="B23" s="44" t="n">
        <f aca="false">SUMIF(Sales!E4:E53,"P021",Sales!G4:G53)+SUMIF(Sales!E4:E53,"P022",Sales!G4:G53)</f>
        <v>11</v>
      </c>
      <c r="C23" s="45" t="n">
        <f aca="false">SUMIF(Sales!E4:E53,"P021",Sales!K4:K53)+SUMIF(Sales!E4:E53,"P022",Sales!K4:K53)</f>
        <v>220920</v>
      </c>
      <c r="D23" s="46" t="n">
        <f aca="false">C23/SUM(Sales!K4:K53)</f>
        <v>0.0161381870618375</v>
      </c>
      <c r="E23" s="46"/>
      <c r="G23" s="47" t="s">
        <v>55</v>
      </c>
      <c r="H23" s="47"/>
      <c r="I23" s="47"/>
      <c r="J23" s="48" t="n">
        <f aca="false">INDEX(Inventory!G4:G28,MATCH("P009",Inventory!A4:A28,0))</f>
        <v>48</v>
      </c>
      <c r="K23" s="48" t="n">
        <v>5</v>
      </c>
      <c r="L23" s="49" t="str">
        <f aca="false">IF(J23&lt;=K23,"🔴 REORDER","✅ OK")</f>
        <v>✅ OK</v>
      </c>
    </row>
    <row r="24" customFormat="false" ht="15" hidden="false" customHeight="false" outlineLevel="0" collapsed="false">
      <c r="A24" s="50" t="s">
        <v>119</v>
      </c>
      <c r="B24" s="51" t="n">
        <f aca="false">SUMIF(Sales!E4:E53,"P023",Sales!G4:G53)+SUMIF(Sales!E4:E53,"P024",Sales!G4:G53)</f>
        <v>10</v>
      </c>
      <c r="C24" s="52" t="n">
        <f aca="false">SUMIF(Sales!E4:E53,"P023",Sales!K4:K53)+SUMIF(Sales!E4:E53,"P024",Sales!K4:K53)</f>
        <v>238750</v>
      </c>
      <c r="D24" s="53" t="n">
        <f aca="false">C24/SUM(Sales!K4:K53)</f>
        <v>0.0174406670333772</v>
      </c>
      <c r="E24" s="53"/>
      <c r="G24" s="54" t="s">
        <v>60</v>
      </c>
      <c r="H24" s="54"/>
      <c r="I24" s="54"/>
      <c r="J24" s="55" t="n">
        <f aca="false">INDEX(Inventory!G4:G28,MATCH("P010",Inventory!A4:A28,0))</f>
        <v>8</v>
      </c>
      <c r="K24" s="55" t="n">
        <v>2</v>
      </c>
      <c r="L24" s="56" t="str">
        <f aca="false">IF(J24&lt;=K24,"🔴 REORDER","✅ OK")</f>
        <v>✅ OK</v>
      </c>
    </row>
    <row r="25" customFormat="false" ht="15" hidden="false" customHeight="false" outlineLevel="0" collapsed="false">
      <c r="A25" s="43" t="s">
        <v>128</v>
      </c>
      <c r="B25" s="44" t="n">
        <f aca="false">SUMIF(Sales!E4:E53,"P025",Sales!G4:G53)</f>
        <v>4</v>
      </c>
      <c r="C25" s="45" t="n">
        <f aca="false">SUMIF(Sales!E4:E53,"P025",Sales!K4:K53)</f>
        <v>601600</v>
      </c>
      <c r="D25" s="46" t="n">
        <f aca="false">C25/SUM(Sales!K4:K53)</f>
        <v>0.0439468284283968</v>
      </c>
      <c r="E25" s="46"/>
      <c r="G25" s="47" t="s">
        <v>63</v>
      </c>
      <c r="H25" s="47"/>
      <c r="I25" s="47"/>
      <c r="J25" s="48" t="n">
        <f aca="false">INDEX(Inventory!G4:G28,MATCH("P011",Inventory!A4:A28,0))</f>
        <v>41</v>
      </c>
      <c r="K25" s="48" t="n">
        <v>3</v>
      </c>
      <c r="L25" s="49" t="str">
        <f aca="false">IF(J25&lt;=K25,"🔴 REORDER","✅ OK")</f>
        <v>✅ OK</v>
      </c>
    </row>
    <row r="26" customFormat="false" ht="15" hidden="false" customHeight="false" outlineLevel="0" collapsed="false">
      <c r="G26" s="54" t="s">
        <v>67</v>
      </c>
      <c r="H26" s="54"/>
      <c r="I26" s="54"/>
      <c r="J26" s="55" t="n">
        <f aca="false">INDEX(Inventory!G4:G28,MATCH("P012",Inventory!A4:A28,0))</f>
        <v>37</v>
      </c>
      <c r="K26" s="55" t="n">
        <v>3</v>
      </c>
      <c r="L26" s="56" t="str">
        <f aca="false">IF(J26&lt;=K26,"🔴 REORDER","✅ OK")</f>
        <v>✅ OK</v>
      </c>
    </row>
    <row r="27" customFormat="false" ht="15" hidden="false" customHeight="false" outlineLevel="0" collapsed="false">
      <c r="G27" s="47" t="s">
        <v>70</v>
      </c>
      <c r="H27" s="47"/>
      <c r="I27" s="47"/>
      <c r="J27" s="48" t="n">
        <f aca="false">INDEX(Inventory!G4:G28,MATCH("P013",Inventory!A4:A28,0))</f>
        <v>27</v>
      </c>
      <c r="K27" s="48" t="n">
        <v>3</v>
      </c>
      <c r="L27" s="49" t="str">
        <f aca="false">IF(J27&lt;=K27,"🔴 REORDER","✅ OK")</f>
        <v>✅ OK</v>
      </c>
    </row>
    <row r="28" customFormat="false" ht="24" hidden="false" customHeight="true" outlineLevel="0" collapsed="false">
      <c r="A28" s="57" t="s">
        <v>233</v>
      </c>
      <c r="B28" s="57"/>
      <c r="C28" s="57"/>
      <c r="D28" s="57"/>
      <c r="E28" s="57"/>
      <c r="G28" s="54" t="s">
        <v>74</v>
      </c>
      <c r="H28" s="54"/>
      <c r="I28" s="54"/>
      <c r="J28" s="55" t="n">
        <f aca="false">INDEX(Inventory!G4:G28,MATCH("P014",Inventory!A4:A28,0))</f>
        <v>16</v>
      </c>
      <c r="K28" s="55" t="n">
        <v>4</v>
      </c>
      <c r="L28" s="56" t="str">
        <f aca="false">IF(J28&lt;=K28,"🔴 REORDER","✅ OK")</f>
        <v>✅ OK</v>
      </c>
    </row>
    <row r="29" customFormat="false" ht="15" hidden="false" customHeight="false" outlineLevel="0" collapsed="false">
      <c r="A29" s="58" t="s">
        <v>234</v>
      </c>
      <c r="B29" s="58" t="s">
        <v>235</v>
      </c>
      <c r="C29" s="58"/>
      <c r="D29" s="58" t="s">
        <v>236</v>
      </c>
      <c r="E29" s="58" t="s">
        <v>237</v>
      </c>
      <c r="G29" s="47" t="s">
        <v>79</v>
      </c>
      <c r="H29" s="47"/>
      <c r="I29" s="47"/>
      <c r="J29" s="48" t="n">
        <f aca="false">INDEX(Inventory!G4:G28,MATCH("P015",Inventory!A4:A28,0))</f>
        <v>36</v>
      </c>
      <c r="K29" s="48" t="n">
        <v>3</v>
      </c>
      <c r="L29" s="49" t="str">
        <f aca="false">IF(J29&lt;=K29,"🔴 REORDER","✅ OK")</f>
        <v>✅ OK</v>
      </c>
    </row>
    <row r="30" customFormat="false" ht="15" hidden="false" customHeight="false" outlineLevel="0" collapsed="false">
      <c r="A30" s="4" t="s">
        <v>238</v>
      </c>
      <c r="B30" s="59" t="s">
        <v>239</v>
      </c>
      <c r="C30" s="59"/>
      <c r="D30" s="45" t="n">
        <f aca="false">SUMIF(Sales!C4:C53,"C001",Sales!K4:K53)</f>
        <v>2189650</v>
      </c>
      <c r="E30" s="60" t="n">
        <f aca="false">COUNTIF(Sales!C4:C53,"C001")</f>
        <v>5</v>
      </c>
      <c r="G30" s="54" t="s">
        <v>85</v>
      </c>
      <c r="H30" s="54"/>
      <c r="I30" s="54"/>
      <c r="J30" s="55" t="n">
        <f aca="false">INDEX(Inventory!G4:G28,MATCH("P016",Inventory!A4:A28,0))</f>
        <v>49</v>
      </c>
      <c r="K30" s="55" t="n">
        <v>4</v>
      </c>
      <c r="L30" s="56" t="str">
        <f aca="false">IF(J30&lt;=K30,"🔴 REORDER","✅ OK")</f>
        <v>✅ OK</v>
      </c>
    </row>
    <row r="31" customFormat="false" ht="15" hidden="false" customHeight="false" outlineLevel="0" collapsed="false">
      <c r="A31" s="61" t="s">
        <v>240</v>
      </c>
      <c r="B31" s="62" t="s">
        <v>241</v>
      </c>
      <c r="C31" s="62"/>
      <c r="D31" s="63" t="n">
        <f aca="false">SUMIF(Sales!C4:C53,"C002",Sales!K4:K53)</f>
        <v>1251410</v>
      </c>
      <c r="E31" s="64" t="n">
        <f aca="false">COUNTIF(Sales!C4:C53,"C002")</f>
        <v>5</v>
      </c>
      <c r="G31" s="47" t="s">
        <v>89</v>
      </c>
      <c r="H31" s="47"/>
      <c r="I31" s="47"/>
      <c r="J31" s="48" t="n">
        <f aca="false">INDEX(Inventory!G4:G28,MATCH("P017",Inventory!A4:A28,0))</f>
        <v>19</v>
      </c>
      <c r="K31" s="48" t="n">
        <v>8</v>
      </c>
      <c r="L31" s="49" t="str">
        <f aca="false">IF(J31&lt;=K31,"🔴 REORDER","✅ OK")</f>
        <v>✅ OK</v>
      </c>
    </row>
    <row r="32" customFormat="false" ht="15" hidden="false" customHeight="false" outlineLevel="0" collapsed="false">
      <c r="A32" s="4" t="s">
        <v>242</v>
      </c>
      <c r="B32" s="59" t="s">
        <v>243</v>
      </c>
      <c r="C32" s="59"/>
      <c r="D32" s="45" t="n">
        <f aca="false">SUMIF(Sales!C4:C53,"C003",Sales!K4:K53)</f>
        <v>581150</v>
      </c>
      <c r="E32" s="60" t="n">
        <f aca="false">COUNTIF(Sales!C4:C53,"C003")</f>
        <v>3</v>
      </c>
      <c r="G32" s="54" t="s">
        <v>93</v>
      </c>
      <c r="H32" s="54"/>
      <c r="I32" s="54"/>
      <c r="J32" s="55" t="n">
        <f aca="false">INDEX(Inventory!G4:G28,MATCH("P018",Inventory!A4:A28,0))</f>
        <v>23</v>
      </c>
      <c r="K32" s="55" t="n">
        <v>10</v>
      </c>
      <c r="L32" s="56" t="str">
        <f aca="false">IF(J32&lt;=K32,"🔴 REORDER","✅ OK")</f>
        <v>✅ OK</v>
      </c>
    </row>
    <row r="33" customFormat="false" ht="15" hidden="false" customHeight="false" outlineLevel="0" collapsed="false">
      <c r="A33" s="61" t="s">
        <v>244</v>
      </c>
      <c r="B33" s="62" t="s">
        <v>245</v>
      </c>
      <c r="C33" s="62"/>
      <c r="D33" s="63" t="n">
        <f aca="false">SUMIF(Sales!C4:C53,"C004",Sales!K4:K53)</f>
        <v>174440</v>
      </c>
      <c r="E33" s="64" t="n">
        <f aca="false">COUNTIF(Sales!C4:C53,"C004")</f>
        <v>2</v>
      </c>
      <c r="G33" s="47" t="s">
        <v>98</v>
      </c>
      <c r="H33" s="47"/>
      <c r="I33" s="47"/>
      <c r="J33" s="48" t="n">
        <f aca="false">INDEX(Inventory!G4:G28,MATCH("P019",Inventory!A4:A28,0))</f>
        <v>39</v>
      </c>
      <c r="K33" s="48" t="n">
        <v>15</v>
      </c>
      <c r="L33" s="49" t="str">
        <f aca="false">IF(J33&lt;=K33,"🔴 REORDER","✅ OK")</f>
        <v>✅ OK</v>
      </c>
    </row>
    <row r="34" customFormat="false" ht="15" hidden="false" customHeight="false" outlineLevel="0" collapsed="false">
      <c r="A34" s="4" t="s">
        <v>246</v>
      </c>
      <c r="B34" s="59" t="s">
        <v>247</v>
      </c>
      <c r="C34" s="59"/>
      <c r="D34" s="45" t="n">
        <f aca="false">SUMIF(Sales!C4:C53,"C005",Sales!K4:K53)</f>
        <v>1167100</v>
      </c>
      <c r="E34" s="60" t="n">
        <f aca="false">COUNTIF(Sales!C4:C53,"C005")</f>
        <v>6</v>
      </c>
      <c r="G34" s="54" t="s">
        <v>104</v>
      </c>
      <c r="H34" s="54"/>
      <c r="I34" s="54"/>
      <c r="J34" s="55" t="n">
        <f aca="false">INDEX(Inventory!G4:G28,MATCH("P020",Inventory!A4:A28,0))</f>
        <v>26</v>
      </c>
      <c r="K34" s="55" t="n">
        <v>10</v>
      </c>
      <c r="L34" s="56" t="str">
        <f aca="false">IF(J34&lt;=K34,"🔴 REORDER","✅ OK")</f>
        <v>✅ OK</v>
      </c>
    </row>
    <row r="35" customFormat="false" ht="15" hidden="false" customHeight="false" outlineLevel="0" collapsed="false">
      <c r="A35" s="61" t="s">
        <v>248</v>
      </c>
      <c r="B35" s="62" t="s">
        <v>249</v>
      </c>
      <c r="C35" s="62"/>
      <c r="D35" s="63" t="n">
        <f aca="false">SUMIF(Sales!C4:C53,"C006",Sales!K4:K53)</f>
        <v>705600</v>
      </c>
      <c r="E35" s="64" t="n">
        <f aca="false">COUNTIF(Sales!C4:C53,"C006")</f>
        <v>1</v>
      </c>
      <c r="G35" s="47" t="s">
        <v>109</v>
      </c>
      <c r="H35" s="47"/>
      <c r="I35" s="47"/>
      <c r="J35" s="48" t="n">
        <f aca="false">INDEX(Inventory!G4:G28,MATCH("P021",Inventory!A4:A28,0))</f>
        <v>30</v>
      </c>
      <c r="K35" s="48" t="n">
        <v>12</v>
      </c>
      <c r="L35" s="49" t="str">
        <f aca="false">IF(J35&lt;=K35,"🔴 REORDER","✅ OK")</f>
        <v>✅ OK</v>
      </c>
    </row>
    <row r="36" customFormat="false" ht="15" hidden="false" customHeight="false" outlineLevel="0" collapsed="false">
      <c r="A36" s="4" t="s">
        <v>250</v>
      </c>
      <c r="B36" s="59" t="s">
        <v>251</v>
      </c>
      <c r="C36" s="59"/>
      <c r="D36" s="45" t="n">
        <f aca="false">SUMIF(Sales!C4:C53,"C007",Sales!K4:K53)</f>
        <v>432000</v>
      </c>
      <c r="E36" s="60" t="n">
        <f aca="false">COUNTIF(Sales!C4:C53,"C007")</f>
        <v>1</v>
      </c>
      <c r="G36" s="54" t="s">
        <v>115</v>
      </c>
      <c r="H36" s="54"/>
      <c r="I36" s="54"/>
      <c r="J36" s="55" t="n">
        <f aca="false">INDEX(Inventory!G4:G28,MATCH("P022",Inventory!A4:A28,0))</f>
        <v>29</v>
      </c>
      <c r="K36" s="55" t="n">
        <v>8</v>
      </c>
      <c r="L36" s="56" t="str">
        <f aca="false">IF(J36&lt;=K36,"🔴 REORDER","✅ OK")</f>
        <v>✅ OK</v>
      </c>
    </row>
    <row r="37" customFormat="false" ht="15" hidden="false" customHeight="false" outlineLevel="0" collapsed="false">
      <c r="A37" s="61" t="s">
        <v>252</v>
      </c>
      <c r="B37" s="62" t="s">
        <v>253</v>
      </c>
      <c r="C37" s="62"/>
      <c r="D37" s="63" t="n">
        <f aca="false">SUMIF(Sales!C4:C53,"C008",Sales!K4:K53)</f>
        <v>306730</v>
      </c>
      <c r="E37" s="64" t="n">
        <f aca="false">COUNTIF(Sales!C4:C53,"C008")</f>
        <v>4</v>
      </c>
      <c r="G37" s="47" t="s">
        <v>118</v>
      </c>
      <c r="H37" s="47"/>
      <c r="I37" s="47"/>
      <c r="J37" s="48" t="n">
        <f aca="false">INDEX(Inventory!G4:G28,MATCH("P023",Inventory!A4:A28,0))</f>
        <v>8</v>
      </c>
      <c r="K37" s="48" t="n">
        <v>10</v>
      </c>
      <c r="L37" s="49" t="str">
        <f aca="false">IF(J37&lt;=K37,"🔴 REORDER","✅ OK")</f>
        <v>🔴 REORDER</v>
      </c>
    </row>
    <row r="38" customFormat="false" ht="15" hidden="false" customHeight="false" outlineLevel="0" collapsed="false">
      <c r="G38" s="54" t="s">
        <v>122</v>
      </c>
      <c r="H38" s="54"/>
      <c r="I38" s="54"/>
      <c r="J38" s="55" t="n">
        <f aca="false">INDEX(Inventory!G4:G28,MATCH("P024",Inventory!A4:A28,0))</f>
        <v>38</v>
      </c>
      <c r="K38" s="55" t="n">
        <v>10</v>
      </c>
      <c r="L38" s="56" t="str">
        <f aca="false">IF(J38&lt;=K38,"🔴 REORDER","✅ OK")</f>
        <v>✅ OK</v>
      </c>
    </row>
    <row r="39" customFormat="false" ht="15" hidden="false" customHeight="false" outlineLevel="0" collapsed="false">
      <c r="G39" s="47" t="s">
        <v>127</v>
      </c>
      <c r="H39" s="47"/>
      <c r="I39" s="47"/>
      <c r="J39" s="48" t="n">
        <f aca="false">INDEX(Inventory!G4:G28,MATCH("P025",Inventory!A4:A28,0))</f>
        <v>31</v>
      </c>
      <c r="K39" s="48" t="n">
        <v>2</v>
      </c>
      <c r="L39" s="49" t="str">
        <f aca="false">IF(J39&lt;=K39,"🔴 REORDER","✅ OK")</f>
        <v>✅ OK</v>
      </c>
    </row>
    <row r="43" customFormat="false" ht="24" hidden="false" customHeight="true" outlineLevel="0" collapsed="false">
      <c r="G43" s="65" t="s">
        <v>254</v>
      </c>
      <c r="H43" s="65"/>
      <c r="I43" s="65"/>
      <c r="J43" s="65"/>
      <c r="K43" s="65"/>
      <c r="L43" s="65"/>
    </row>
    <row r="44" customFormat="false" ht="15" hidden="false" customHeight="false" outlineLevel="0" collapsed="false">
      <c r="G44" s="12" t="s">
        <v>255</v>
      </c>
      <c r="H44" s="12"/>
      <c r="I44" s="12" t="s">
        <v>256</v>
      </c>
      <c r="J44" s="12" t="s">
        <v>257</v>
      </c>
      <c r="K44" s="12"/>
      <c r="L44" s="12" t="s">
        <v>228</v>
      </c>
    </row>
    <row r="45" customFormat="false" ht="15" hidden="false" customHeight="false" outlineLevel="0" collapsed="false">
      <c r="G45" s="59" t="s">
        <v>258</v>
      </c>
      <c r="H45" s="59"/>
      <c r="I45" s="60" t="n">
        <f aca="false">COUNTIF(Sales!L4:L53,"Cash")</f>
        <v>10</v>
      </c>
      <c r="J45" s="66" t="n">
        <f aca="false">SUMIF(Sales!L4:L53,"Cash",Sales!K4:K53)</f>
        <v>2947860</v>
      </c>
      <c r="K45" s="66"/>
      <c r="L45" s="67" t="n">
        <f aca="false">J45/SUM(Sales!K4:K53)</f>
        <v>0.21534092029743</v>
      </c>
    </row>
    <row r="46" customFormat="false" ht="15" hidden="false" customHeight="false" outlineLevel="0" collapsed="false">
      <c r="G46" s="68" t="s">
        <v>259</v>
      </c>
      <c r="H46" s="68"/>
      <c r="I46" s="69" t="n">
        <f aca="false">COUNTIF(Sales!L4:L53,"Credit")</f>
        <v>15</v>
      </c>
      <c r="J46" s="70" t="n">
        <f aca="false">SUMIF(Sales!L4:L53,"Credit",Sales!K4:K53)</f>
        <v>4984430</v>
      </c>
      <c r="K46" s="70"/>
      <c r="L46" s="71" t="n">
        <f aca="false">J46/SUM(Sales!K4:K53)</f>
        <v>0.364112184214352</v>
      </c>
    </row>
    <row r="47" customFormat="false" ht="15" hidden="false" customHeight="false" outlineLevel="0" collapsed="false">
      <c r="G47" s="59" t="s">
        <v>260</v>
      </c>
      <c r="H47" s="59"/>
      <c r="I47" s="60" t="n">
        <f aca="false">COUNTIF(Sales!L4:L53,"Bank Transfer")</f>
        <v>13</v>
      </c>
      <c r="J47" s="66" t="n">
        <f aca="false">SUMIF(Sales!L4:L53,"Bank Transfer",Sales!K4:K53)</f>
        <v>3557400</v>
      </c>
      <c r="K47" s="66"/>
      <c r="L47" s="67" t="n">
        <f aca="false">J47/SUM(Sales!K4:K53)</f>
        <v>0.259867765045178</v>
      </c>
    </row>
    <row r="48" customFormat="false" ht="15" hidden="false" customHeight="false" outlineLevel="0" collapsed="false">
      <c r="G48" s="68" t="s">
        <v>261</v>
      </c>
      <c r="H48" s="68"/>
      <c r="I48" s="69" t="n">
        <f aca="false">COUNTIF(Sales!L4:L53,"Installment")</f>
        <v>12</v>
      </c>
      <c r="J48" s="70" t="n">
        <f aca="false">SUMIF(Sales!L4:L53,"Installment",Sales!K4:K53)</f>
        <v>2199580</v>
      </c>
      <c r="K48" s="70"/>
      <c r="L48" s="71" t="n">
        <f aca="false">J48/SUM(Sales!K4:K53)</f>
        <v>0.16067913044304</v>
      </c>
    </row>
    <row r="51" customFormat="false" ht="24" hidden="false" customHeight="true" outlineLevel="0" collapsed="false">
      <c r="G51" s="72" t="s">
        <v>262</v>
      </c>
      <c r="H51" s="72"/>
      <c r="I51" s="72"/>
      <c r="J51" s="72"/>
      <c r="K51" s="72"/>
      <c r="L51" s="72"/>
    </row>
    <row r="52" customFormat="false" ht="21.75" hidden="false" customHeight="true" outlineLevel="0" collapsed="false">
      <c r="G52" s="73" t="s">
        <v>236</v>
      </c>
      <c r="H52" s="73"/>
      <c r="I52" s="73"/>
      <c r="J52" s="73"/>
      <c r="K52" s="66" t="n">
        <f aca="false">SUM(Sales!K4:K53)</f>
        <v>13689270</v>
      </c>
      <c r="L52" s="66"/>
    </row>
    <row r="53" customFormat="false" ht="21.75" hidden="false" customHeight="true" outlineLevel="0" collapsed="false">
      <c r="G53" s="73" t="s">
        <v>263</v>
      </c>
      <c r="H53" s="73"/>
      <c r="I53" s="73"/>
      <c r="J53" s="73"/>
      <c r="K53" s="74" t="n">
        <f aca="false">'Profit Analysis'!C14</f>
        <v>11448000</v>
      </c>
      <c r="L53" s="74"/>
    </row>
    <row r="54" customFormat="false" ht="21.75" hidden="false" customHeight="true" outlineLevel="0" collapsed="false">
      <c r="G54" s="75" t="s">
        <v>264</v>
      </c>
      <c r="H54" s="75"/>
      <c r="I54" s="75"/>
      <c r="J54" s="75"/>
      <c r="K54" s="76" t="n">
        <f aca="false">'Profit Analysis'!C16</f>
        <v>2241270</v>
      </c>
      <c r="L54" s="76"/>
    </row>
    <row r="55" customFormat="false" ht="21.75" hidden="false" customHeight="true" outlineLevel="0" collapsed="false">
      <c r="G55" s="73" t="s">
        <v>265</v>
      </c>
      <c r="H55" s="73"/>
      <c r="I55" s="73"/>
      <c r="J55" s="73"/>
      <c r="K55" s="77" t="n">
        <f aca="false">SUM(Expenses!E4:E53)</f>
        <v>2188280</v>
      </c>
      <c r="L55" s="77"/>
    </row>
    <row r="56" customFormat="false" ht="27.75" hidden="false" customHeight="true" outlineLevel="0" collapsed="false">
      <c r="G56" s="78" t="s">
        <v>266</v>
      </c>
      <c r="H56" s="78"/>
      <c r="I56" s="78"/>
      <c r="J56" s="78"/>
      <c r="K56" s="79" t="n">
        <f aca="false">'Profit Analysis'!C30</f>
        <v>52990</v>
      </c>
      <c r="L56" s="79"/>
    </row>
  </sheetData>
  <mergeCells count="96">
    <mergeCell ref="A1:L1"/>
    <mergeCell ref="A2:L2"/>
    <mergeCell ref="A4:C4"/>
    <mergeCell ref="D4:F4"/>
    <mergeCell ref="G4:I4"/>
    <mergeCell ref="J4:L4"/>
    <mergeCell ref="A5:C5"/>
    <mergeCell ref="D5:F5"/>
    <mergeCell ref="G5:I5"/>
    <mergeCell ref="J5:L5"/>
    <mergeCell ref="A6:C6"/>
    <mergeCell ref="D6:F6"/>
    <mergeCell ref="G6:I6"/>
    <mergeCell ref="J6:L6"/>
    <mergeCell ref="A8:C8"/>
    <mergeCell ref="D8:F8"/>
    <mergeCell ref="G8:I8"/>
    <mergeCell ref="J8:L8"/>
    <mergeCell ref="A9:C9"/>
    <mergeCell ref="D9:F9"/>
    <mergeCell ref="G9:I9"/>
    <mergeCell ref="J9:L9"/>
    <mergeCell ref="A10:C10"/>
    <mergeCell ref="D10:F10"/>
    <mergeCell ref="G10:I10"/>
    <mergeCell ref="J10:L10"/>
    <mergeCell ref="A13:E13"/>
    <mergeCell ref="G13:L13"/>
    <mergeCell ref="D14:E14"/>
    <mergeCell ref="G14:I14"/>
    <mergeCell ref="D15:E15"/>
    <mergeCell ref="G15:I15"/>
    <mergeCell ref="D16:E16"/>
    <mergeCell ref="G16:I16"/>
    <mergeCell ref="D17:E17"/>
    <mergeCell ref="G17:I17"/>
    <mergeCell ref="D18:E18"/>
    <mergeCell ref="G18:I18"/>
    <mergeCell ref="D19:E19"/>
    <mergeCell ref="G19:I19"/>
    <mergeCell ref="D20:E20"/>
    <mergeCell ref="G20:I20"/>
    <mergeCell ref="D21:E21"/>
    <mergeCell ref="G21:I21"/>
    <mergeCell ref="D22:E22"/>
    <mergeCell ref="G22:I22"/>
    <mergeCell ref="D23:E23"/>
    <mergeCell ref="G23:I23"/>
    <mergeCell ref="D24:E24"/>
    <mergeCell ref="G24:I24"/>
    <mergeCell ref="D25:E25"/>
    <mergeCell ref="G25:I25"/>
    <mergeCell ref="G26:I26"/>
    <mergeCell ref="G27:I27"/>
    <mergeCell ref="A28:E28"/>
    <mergeCell ref="G28:I28"/>
    <mergeCell ref="B29:C29"/>
    <mergeCell ref="G29:I29"/>
    <mergeCell ref="B30:C30"/>
    <mergeCell ref="G30:I30"/>
    <mergeCell ref="B31:C31"/>
    <mergeCell ref="G31:I31"/>
    <mergeCell ref="B32:C32"/>
    <mergeCell ref="G32:I32"/>
    <mergeCell ref="B33:C33"/>
    <mergeCell ref="G33:I33"/>
    <mergeCell ref="B34:C34"/>
    <mergeCell ref="G34:I34"/>
    <mergeCell ref="B35:C35"/>
    <mergeCell ref="G35:I35"/>
    <mergeCell ref="B36:C36"/>
    <mergeCell ref="G36:I36"/>
    <mergeCell ref="B37:C37"/>
    <mergeCell ref="G37:I37"/>
    <mergeCell ref="G38:I38"/>
    <mergeCell ref="G39:I39"/>
    <mergeCell ref="G43:L43"/>
    <mergeCell ref="G45:H45"/>
    <mergeCell ref="J45:K45"/>
    <mergeCell ref="G46:H46"/>
    <mergeCell ref="J46:K46"/>
    <mergeCell ref="G47:H47"/>
    <mergeCell ref="J47:K47"/>
    <mergeCell ref="G48:H48"/>
    <mergeCell ref="J48:K48"/>
    <mergeCell ref="G51:L51"/>
    <mergeCell ref="G52:J52"/>
    <mergeCell ref="K52:L52"/>
    <mergeCell ref="G53:J53"/>
    <mergeCell ref="K53:L53"/>
    <mergeCell ref="G54:J54"/>
    <mergeCell ref="K54:L54"/>
    <mergeCell ref="G55:J55"/>
    <mergeCell ref="K55:L55"/>
    <mergeCell ref="G56:J56"/>
    <mergeCell ref="K56:L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5"/>
    <col collapsed="false" customWidth="true" hidden="false" outlineLevel="0" max="3" min="3" style="0" width="15"/>
    <col collapsed="false" customWidth="true" hidden="false" outlineLevel="0" max="4" min="4" style="0" width="28"/>
    <col collapsed="false" customWidth="true" hidden="false" outlineLevel="0" max="5" min="5" style="0" width="30"/>
    <col collapsed="false" customWidth="true" hidden="false" outlineLevel="0" max="7" min="6" style="0" width="12"/>
    <col collapsed="false" customWidth="true" hidden="false" outlineLevel="0" max="8" min="8" style="0" width="14"/>
    <col collapsed="false" customWidth="true" hidden="false" outlineLevel="0" max="9" min="9" style="0" width="10"/>
  </cols>
  <sheetData>
    <row r="1" customFormat="false" ht="30" hidden="false" customHeight="true" outlineLevel="0" collapsed="false">
      <c r="A1" s="1" t="s">
        <v>267</v>
      </c>
      <c r="B1" s="1"/>
      <c r="C1" s="1"/>
      <c r="D1" s="1"/>
      <c r="E1" s="1"/>
      <c r="F1" s="1"/>
      <c r="G1" s="1"/>
      <c r="H1" s="1"/>
      <c r="I1" s="1"/>
    </row>
    <row r="2" customFormat="false" ht="21.75" hidden="false" customHeight="true" outlineLevel="0" collapsed="false">
      <c r="A2" s="2" t="s">
        <v>268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58" t="s">
        <v>234</v>
      </c>
      <c r="B3" s="58" t="s">
        <v>235</v>
      </c>
      <c r="C3" s="58" t="s">
        <v>136</v>
      </c>
      <c r="D3" s="58" t="s">
        <v>137</v>
      </c>
      <c r="E3" s="58" t="s">
        <v>269</v>
      </c>
      <c r="F3" s="58" t="s">
        <v>138</v>
      </c>
      <c r="G3" s="58" t="s">
        <v>270</v>
      </c>
      <c r="H3" s="58" t="s">
        <v>140</v>
      </c>
      <c r="I3" s="58" t="s">
        <v>12</v>
      </c>
    </row>
    <row r="4" customFormat="false" ht="15" hidden="false" customHeight="false" outlineLevel="0" collapsed="false">
      <c r="A4" s="4" t="s">
        <v>238</v>
      </c>
      <c r="B4" s="4" t="s">
        <v>239</v>
      </c>
      <c r="C4" s="4" t="s">
        <v>271</v>
      </c>
      <c r="D4" s="4" t="s">
        <v>272</v>
      </c>
      <c r="E4" s="4" t="s">
        <v>273</v>
      </c>
      <c r="F4" s="4" t="s">
        <v>145</v>
      </c>
      <c r="G4" s="4" t="s">
        <v>274</v>
      </c>
      <c r="H4" s="5" t="n">
        <v>500000</v>
      </c>
      <c r="I4" s="7" t="s">
        <v>19</v>
      </c>
    </row>
    <row r="5" customFormat="false" ht="15" hidden="false" customHeight="false" outlineLevel="0" collapsed="false">
      <c r="A5" s="61" t="s">
        <v>240</v>
      </c>
      <c r="B5" s="61" t="s">
        <v>241</v>
      </c>
      <c r="C5" s="61" t="s">
        <v>275</v>
      </c>
      <c r="D5" s="61" t="s">
        <v>276</v>
      </c>
      <c r="E5" s="61" t="s">
        <v>277</v>
      </c>
      <c r="F5" s="61" t="s">
        <v>151</v>
      </c>
      <c r="G5" s="61" t="s">
        <v>278</v>
      </c>
      <c r="H5" s="80" t="n">
        <v>100000</v>
      </c>
      <c r="I5" s="81" t="s">
        <v>19</v>
      </c>
    </row>
    <row r="6" customFormat="false" ht="15" hidden="false" customHeight="false" outlineLevel="0" collapsed="false">
      <c r="A6" s="4" t="s">
        <v>242</v>
      </c>
      <c r="B6" s="4" t="s">
        <v>243</v>
      </c>
      <c r="C6" s="4" t="s">
        <v>279</v>
      </c>
      <c r="D6" s="4" t="s">
        <v>280</v>
      </c>
      <c r="E6" s="4" t="s">
        <v>281</v>
      </c>
      <c r="F6" s="4" t="s">
        <v>161</v>
      </c>
      <c r="G6" s="4" t="s">
        <v>274</v>
      </c>
      <c r="H6" s="5" t="n">
        <v>750000</v>
      </c>
      <c r="I6" s="7" t="s">
        <v>19</v>
      </c>
    </row>
    <row r="7" customFormat="false" ht="15" hidden="false" customHeight="false" outlineLevel="0" collapsed="false">
      <c r="A7" s="61" t="s">
        <v>244</v>
      </c>
      <c r="B7" s="61" t="s">
        <v>245</v>
      </c>
      <c r="C7" s="61" t="s">
        <v>282</v>
      </c>
      <c r="D7" s="61" t="s">
        <v>283</v>
      </c>
      <c r="E7" s="61" t="s">
        <v>284</v>
      </c>
      <c r="F7" s="61" t="s">
        <v>145</v>
      </c>
      <c r="G7" s="61" t="s">
        <v>278</v>
      </c>
      <c r="H7" s="80" t="n">
        <v>75000</v>
      </c>
      <c r="I7" s="81" t="s">
        <v>19</v>
      </c>
    </row>
    <row r="8" customFormat="false" ht="15" hidden="false" customHeight="false" outlineLevel="0" collapsed="false">
      <c r="A8" s="4" t="s">
        <v>246</v>
      </c>
      <c r="B8" s="4" t="s">
        <v>247</v>
      </c>
      <c r="C8" s="4" t="s">
        <v>285</v>
      </c>
      <c r="D8" s="4" t="s">
        <v>286</v>
      </c>
      <c r="E8" s="4" t="s">
        <v>287</v>
      </c>
      <c r="F8" s="4" t="s">
        <v>151</v>
      </c>
      <c r="G8" s="4" t="s">
        <v>274</v>
      </c>
      <c r="H8" s="5" t="n">
        <v>600000</v>
      </c>
      <c r="I8" s="7" t="s">
        <v>19</v>
      </c>
    </row>
    <row r="9" customFormat="false" ht="15" hidden="false" customHeight="false" outlineLevel="0" collapsed="false">
      <c r="A9" s="61" t="s">
        <v>248</v>
      </c>
      <c r="B9" s="61" t="s">
        <v>249</v>
      </c>
      <c r="C9" s="61" t="s">
        <v>288</v>
      </c>
      <c r="D9" s="61" t="s">
        <v>289</v>
      </c>
      <c r="E9" s="61" t="s">
        <v>290</v>
      </c>
      <c r="F9" s="61" t="s">
        <v>161</v>
      </c>
      <c r="G9" s="61" t="s">
        <v>278</v>
      </c>
      <c r="H9" s="80" t="n">
        <v>50000</v>
      </c>
      <c r="I9" s="81" t="s">
        <v>19</v>
      </c>
    </row>
    <row r="10" customFormat="false" ht="15" hidden="false" customHeight="false" outlineLevel="0" collapsed="false">
      <c r="A10" s="4" t="s">
        <v>250</v>
      </c>
      <c r="B10" s="4" t="s">
        <v>251</v>
      </c>
      <c r="C10" s="4" t="s">
        <v>291</v>
      </c>
      <c r="D10" s="4" t="s">
        <v>292</v>
      </c>
      <c r="E10" s="4" t="s">
        <v>293</v>
      </c>
      <c r="F10" s="4" t="s">
        <v>151</v>
      </c>
      <c r="G10" s="4" t="s">
        <v>274</v>
      </c>
      <c r="H10" s="5" t="n">
        <v>400000</v>
      </c>
      <c r="I10" s="7" t="s">
        <v>19</v>
      </c>
    </row>
    <row r="11" customFormat="false" ht="15" hidden="false" customHeight="false" outlineLevel="0" collapsed="false">
      <c r="A11" s="61" t="s">
        <v>252</v>
      </c>
      <c r="B11" s="61" t="s">
        <v>253</v>
      </c>
      <c r="C11" s="61" t="s">
        <v>180</v>
      </c>
      <c r="D11" s="61" t="s">
        <v>294</v>
      </c>
      <c r="E11" s="61" t="s">
        <v>295</v>
      </c>
      <c r="F11" s="61" t="s">
        <v>145</v>
      </c>
      <c r="G11" s="61" t="s">
        <v>278</v>
      </c>
      <c r="H11" s="80" t="n">
        <v>80000</v>
      </c>
      <c r="I11" s="81" t="s">
        <v>19</v>
      </c>
    </row>
    <row r="12" customFormat="false" ht="15" hidden="false" customHeight="false" outlineLevel="0" collapsed="false">
      <c r="A12" s="4" t="s">
        <v>296</v>
      </c>
      <c r="B12" s="4" t="s">
        <v>297</v>
      </c>
      <c r="C12" s="4" t="s">
        <v>298</v>
      </c>
      <c r="D12" s="4" t="s">
        <v>299</v>
      </c>
      <c r="E12" s="4" t="s">
        <v>300</v>
      </c>
      <c r="F12" s="4" t="s">
        <v>145</v>
      </c>
      <c r="G12" s="4" t="s">
        <v>274</v>
      </c>
      <c r="H12" s="5" t="n">
        <v>550000</v>
      </c>
      <c r="I12" s="7" t="s">
        <v>19</v>
      </c>
    </row>
    <row r="13" customFormat="false" ht="15" hidden="false" customHeight="false" outlineLevel="0" collapsed="false">
      <c r="A13" s="61" t="s">
        <v>301</v>
      </c>
      <c r="B13" s="61" t="s">
        <v>302</v>
      </c>
      <c r="C13" s="61" t="s">
        <v>303</v>
      </c>
      <c r="D13" s="61" t="s">
        <v>304</v>
      </c>
      <c r="E13" s="61" t="s">
        <v>305</v>
      </c>
      <c r="F13" s="61" t="s">
        <v>151</v>
      </c>
      <c r="G13" s="61" t="s">
        <v>278</v>
      </c>
      <c r="H13" s="80" t="n">
        <v>60000</v>
      </c>
      <c r="I13" s="81" t="s">
        <v>19</v>
      </c>
    </row>
    <row r="14" customFormat="false" ht="15" hidden="false" customHeight="false" outlineLevel="0" collapsed="false">
      <c r="A14" s="4" t="s">
        <v>306</v>
      </c>
      <c r="B14" s="4" t="s">
        <v>307</v>
      </c>
      <c r="C14" s="4" t="s">
        <v>308</v>
      </c>
      <c r="D14" s="4" t="s">
        <v>309</v>
      </c>
      <c r="E14" s="4" t="s">
        <v>310</v>
      </c>
      <c r="F14" s="4" t="s">
        <v>145</v>
      </c>
      <c r="G14" s="4" t="s">
        <v>274</v>
      </c>
      <c r="H14" s="5" t="n">
        <v>450000</v>
      </c>
      <c r="I14" s="7" t="s">
        <v>19</v>
      </c>
    </row>
    <row r="15" customFormat="false" ht="15" hidden="false" customHeight="false" outlineLevel="0" collapsed="false">
      <c r="A15" s="61" t="s">
        <v>311</v>
      </c>
      <c r="B15" s="61" t="s">
        <v>312</v>
      </c>
      <c r="C15" s="61" t="s">
        <v>313</v>
      </c>
      <c r="D15" s="61" t="s">
        <v>314</v>
      </c>
      <c r="E15" s="61" t="s">
        <v>315</v>
      </c>
      <c r="F15" s="61" t="s">
        <v>151</v>
      </c>
      <c r="G15" s="61" t="s">
        <v>278</v>
      </c>
      <c r="H15" s="80" t="n">
        <v>90000</v>
      </c>
      <c r="I15" s="81" t="s">
        <v>19</v>
      </c>
    </row>
    <row r="16" customFormat="false" ht="15" hidden="false" customHeight="false" outlineLevel="0" collapsed="false">
      <c r="A16" s="4" t="s">
        <v>316</v>
      </c>
      <c r="B16" s="4" t="s">
        <v>317</v>
      </c>
      <c r="C16" s="4" t="s">
        <v>318</v>
      </c>
      <c r="D16" s="4" t="s">
        <v>319</v>
      </c>
      <c r="E16" s="4" t="s">
        <v>320</v>
      </c>
      <c r="F16" s="4" t="s">
        <v>161</v>
      </c>
      <c r="G16" s="4" t="s">
        <v>274</v>
      </c>
      <c r="H16" s="5" t="n">
        <v>650000</v>
      </c>
      <c r="I16" s="7" t="s">
        <v>19</v>
      </c>
    </row>
    <row r="17" customFormat="false" ht="15" hidden="false" customHeight="false" outlineLevel="0" collapsed="false">
      <c r="A17" s="61" t="s">
        <v>321</v>
      </c>
      <c r="B17" s="61" t="s">
        <v>322</v>
      </c>
      <c r="C17" s="61" t="s">
        <v>323</v>
      </c>
      <c r="D17" s="61" t="s">
        <v>324</v>
      </c>
      <c r="E17" s="61" t="s">
        <v>325</v>
      </c>
      <c r="F17" s="61" t="s">
        <v>145</v>
      </c>
      <c r="G17" s="61" t="s">
        <v>278</v>
      </c>
      <c r="H17" s="80" t="n">
        <v>70000</v>
      </c>
      <c r="I17" s="81" t="s">
        <v>19</v>
      </c>
    </row>
    <row r="18" customFormat="false" ht="15" hidden="false" customHeight="false" outlineLevel="0" collapsed="false">
      <c r="A18" s="4" t="s">
        <v>326</v>
      </c>
      <c r="B18" s="4" t="s">
        <v>327</v>
      </c>
      <c r="C18" s="4" t="s">
        <v>328</v>
      </c>
      <c r="D18" s="4" t="s">
        <v>329</v>
      </c>
      <c r="E18" s="4" t="s">
        <v>330</v>
      </c>
      <c r="F18" s="4" t="s">
        <v>151</v>
      </c>
      <c r="G18" s="4" t="s">
        <v>274</v>
      </c>
      <c r="H18" s="5" t="n">
        <v>500000</v>
      </c>
      <c r="I18" s="7" t="s">
        <v>19</v>
      </c>
    </row>
  </sheetData>
  <mergeCells count="2">
    <mergeCell ref="A1:I1"/>
    <mergeCell ref="A2:I2"/>
  </mergeCells>
  <dataValidations count="1">
    <dataValidation allowBlank="false" errorStyle="stop" operator="between" showDropDown="false" showErrorMessage="false" showInputMessage="false" sqref="G4:G200" type="list">
      <formula1>"Business,Individual,Government,NGO"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25"/>
    <col collapsed="false" customWidth="true" hidden="false" outlineLevel="0" max="5" min="5" style="0" width="10"/>
    <col collapsed="false" customWidth="true" hidden="false" outlineLevel="0" max="6" min="6" style="0" width="25"/>
    <col collapsed="false" customWidth="true" hidden="false" outlineLevel="0" max="7" min="7" style="0" width="8"/>
    <col collapsed="false" customWidth="true" hidden="false" outlineLevel="0" max="8" min="8" style="0" width="13"/>
    <col collapsed="false" customWidth="true" hidden="false" outlineLevel="0" max="10" min="9" style="0" width="15"/>
    <col collapsed="false" customWidth="true" hidden="false" outlineLevel="0" max="11" min="11" style="0" width="14"/>
    <col collapsed="false" customWidth="true" hidden="false" outlineLevel="0" max="12" min="12" style="0" width="12"/>
  </cols>
  <sheetData>
    <row r="1" customFormat="false" ht="30" hidden="false" customHeight="true" outlineLevel="0" collapsed="false">
      <c r="A1" s="1" t="s">
        <v>331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1.75" hidden="false" customHeight="true" outlineLevel="0" collapsed="false">
      <c r="A2" s="2" t="s">
        <v>332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82" t="s">
        <v>333</v>
      </c>
      <c r="B3" s="82" t="s">
        <v>334</v>
      </c>
      <c r="C3" s="82" t="s">
        <v>10</v>
      </c>
      <c r="D3" s="82" t="s">
        <v>134</v>
      </c>
      <c r="E3" s="82" t="s">
        <v>2</v>
      </c>
      <c r="F3" s="82" t="s">
        <v>3</v>
      </c>
      <c r="G3" s="82" t="s">
        <v>335</v>
      </c>
      <c r="H3" s="82" t="s">
        <v>336</v>
      </c>
      <c r="I3" s="82" t="s">
        <v>337</v>
      </c>
      <c r="J3" s="82" t="s">
        <v>255</v>
      </c>
      <c r="K3" s="82" t="s">
        <v>338</v>
      </c>
      <c r="L3" s="82" t="s">
        <v>12</v>
      </c>
    </row>
    <row r="4" customFormat="false" ht="15" hidden="false" customHeight="false" outlineLevel="0" collapsed="false">
      <c r="A4" s="4" t="s">
        <v>339</v>
      </c>
      <c r="B4" s="83" t="n">
        <v>45619</v>
      </c>
      <c r="C4" s="4" t="s">
        <v>23</v>
      </c>
      <c r="D4" s="4" t="s">
        <v>147</v>
      </c>
      <c r="E4" s="4" t="s">
        <v>13</v>
      </c>
      <c r="F4" s="4" t="s">
        <v>14</v>
      </c>
      <c r="G4" s="4" t="n">
        <v>12</v>
      </c>
      <c r="H4" s="5" t="n">
        <v>85000</v>
      </c>
      <c r="I4" s="5" t="n">
        <v>1020000</v>
      </c>
      <c r="J4" s="4" t="s">
        <v>260</v>
      </c>
      <c r="K4" s="4" t="s">
        <v>340</v>
      </c>
      <c r="L4" s="4" t="s">
        <v>341</v>
      </c>
    </row>
    <row r="5" customFormat="false" ht="15" hidden="false" customHeight="false" outlineLevel="0" collapsed="false">
      <c r="A5" s="84" t="s">
        <v>342</v>
      </c>
      <c r="B5" s="85" t="n">
        <v>45406</v>
      </c>
      <c r="C5" s="84" t="s">
        <v>28</v>
      </c>
      <c r="D5" s="84" t="s">
        <v>153</v>
      </c>
      <c r="E5" s="84" t="s">
        <v>121</v>
      </c>
      <c r="F5" s="84" t="s">
        <v>122</v>
      </c>
      <c r="G5" s="84" t="n">
        <v>2</v>
      </c>
      <c r="H5" s="86" t="n">
        <v>12000</v>
      </c>
      <c r="I5" s="86" t="n">
        <v>24000</v>
      </c>
      <c r="J5" s="84" t="s">
        <v>259</v>
      </c>
      <c r="K5" s="84" t="s">
        <v>343</v>
      </c>
      <c r="L5" s="84" t="s">
        <v>341</v>
      </c>
    </row>
    <row r="6" customFormat="false" ht="15" hidden="false" customHeight="false" outlineLevel="0" collapsed="false">
      <c r="A6" s="4" t="s">
        <v>344</v>
      </c>
      <c r="B6" s="83" t="n">
        <v>45336</v>
      </c>
      <c r="C6" s="4" t="s">
        <v>95</v>
      </c>
      <c r="D6" s="4" t="s">
        <v>182</v>
      </c>
      <c r="E6" s="4" t="s">
        <v>73</v>
      </c>
      <c r="F6" s="4" t="s">
        <v>74</v>
      </c>
      <c r="G6" s="4" t="n">
        <v>1</v>
      </c>
      <c r="H6" s="5" t="n">
        <v>65000</v>
      </c>
      <c r="I6" s="5" t="n">
        <v>65000</v>
      </c>
      <c r="J6" s="4" t="s">
        <v>258</v>
      </c>
      <c r="K6" s="4" t="s">
        <v>345</v>
      </c>
      <c r="L6" s="4" t="s">
        <v>341</v>
      </c>
    </row>
    <row r="7" customFormat="false" ht="15" hidden="false" customHeight="false" outlineLevel="0" collapsed="false">
      <c r="A7" s="84" t="s">
        <v>346</v>
      </c>
      <c r="B7" s="85" t="n">
        <v>45403</v>
      </c>
      <c r="C7" s="84" t="s">
        <v>37</v>
      </c>
      <c r="D7" s="84" t="s">
        <v>157</v>
      </c>
      <c r="E7" s="84" t="s">
        <v>88</v>
      </c>
      <c r="F7" s="84" t="s">
        <v>89</v>
      </c>
      <c r="G7" s="84" t="n">
        <v>10</v>
      </c>
      <c r="H7" s="86" t="n">
        <v>32000</v>
      </c>
      <c r="I7" s="86" t="n">
        <v>320000</v>
      </c>
      <c r="J7" s="84" t="s">
        <v>258</v>
      </c>
      <c r="K7" s="84" t="s">
        <v>347</v>
      </c>
      <c r="L7" s="84" t="s">
        <v>341</v>
      </c>
    </row>
    <row r="8" customFormat="false" ht="15" hidden="false" customHeight="false" outlineLevel="0" collapsed="false">
      <c r="A8" s="4" t="s">
        <v>348</v>
      </c>
      <c r="B8" s="83" t="n">
        <v>45393</v>
      </c>
      <c r="C8" s="4" t="s">
        <v>106</v>
      </c>
      <c r="D8" s="4" t="s">
        <v>190</v>
      </c>
      <c r="E8" s="4" t="s">
        <v>108</v>
      </c>
      <c r="F8" s="4" t="s">
        <v>109</v>
      </c>
      <c r="G8" s="4" t="n">
        <v>12</v>
      </c>
      <c r="H8" s="5" t="n">
        <v>12000</v>
      </c>
      <c r="I8" s="5" t="n">
        <v>144000</v>
      </c>
      <c r="J8" s="4" t="s">
        <v>259</v>
      </c>
      <c r="K8" s="4" t="s">
        <v>349</v>
      </c>
      <c r="L8" s="4" t="s">
        <v>341</v>
      </c>
    </row>
    <row r="9" customFormat="false" ht="15" hidden="false" customHeight="false" outlineLevel="0" collapsed="false">
      <c r="A9" s="84" t="s">
        <v>350</v>
      </c>
      <c r="B9" s="85" t="n">
        <v>45404</v>
      </c>
      <c r="C9" s="84" t="s">
        <v>76</v>
      </c>
      <c r="D9" s="84" t="s">
        <v>174</v>
      </c>
      <c r="E9" s="84" t="s">
        <v>97</v>
      </c>
      <c r="F9" s="84" t="s">
        <v>98</v>
      </c>
      <c r="G9" s="84" t="n">
        <v>5</v>
      </c>
      <c r="H9" s="86" t="n">
        <v>5500</v>
      </c>
      <c r="I9" s="86" t="n">
        <v>27500</v>
      </c>
      <c r="J9" s="84" t="s">
        <v>258</v>
      </c>
      <c r="K9" s="84" t="s">
        <v>351</v>
      </c>
      <c r="L9" s="84" t="s">
        <v>341</v>
      </c>
    </row>
    <row r="10" customFormat="false" ht="15" hidden="false" customHeight="false" outlineLevel="0" collapsed="false">
      <c r="A10" s="4" t="s">
        <v>352</v>
      </c>
      <c r="B10" s="83" t="n">
        <v>45649</v>
      </c>
      <c r="C10" s="4" t="s">
        <v>57</v>
      </c>
      <c r="D10" s="4" t="s">
        <v>170</v>
      </c>
      <c r="E10" s="4" t="s">
        <v>62</v>
      </c>
      <c r="F10" s="4" t="s">
        <v>63</v>
      </c>
      <c r="G10" s="4" t="n">
        <v>5</v>
      </c>
      <c r="H10" s="5" t="n">
        <v>95000</v>
      </c>
      <c r="I10" s="5" t="n">
        <v>475000</v>
      </c>
      <c r="J10" s="4" t="s">
        <v>258</v>
      </c>
      <c r="K10" s="4" t="s">
        <v>353</v>
      </c>
      <c r="L10" s="4" t="s">
        <v>341</v>
      </c>
    </row>
    <row r="11" customFormat="false" ht="15" hidden="false" customHeight="false" outlineLevel="0" collapsed="false">
      <c r="A11" s="84" t="s">
        <v>354</v>
      </c>
      <c r="B11" s="85" t="n">
        <v>45464</v>
      </c>
      <c r="C11" s="84" t="s">
        <v>23</v>
      </c>
      <c r="D11" s="84" t="s">
        <v>147</v>
      </c>
      <c r="E11" s="84" t="s">
        <v>25</v>
      </c>
      <c r="F11" s="84" t="s">
        <v>26</v>
      </c>
      <c r="G11" s="84" t="n">
        <v>7</v>
      </c>
      <c r="H11" s="86" t="n">
        <v>35000</v>
      </c>
      <c r="I11" s="86" t="n">
        <v>245000</v>
      </c>
      <c r="J11" s="84" t="s">
        <v>258</v>
      </c>
      <c r="K11" s="84" t="s">
        <v>355</v>
      </c>
      <c r="L11" s="84" t="s">
        <v>341</v>
      </c>
    </row>
    <row r="12" customFormat="false" ht="15" hidden="false" customHeight="false" outlineLevel="0" collapsed="false">
      <c r="A12" s="4" t="s">
        <v>356</v>
      </c>
      <c r="B12" s="83" t="n">
        <v>45468</v>
      </c>
      <c r="C12" s="4" t="s">
        <v>95</v>
      </c>
      <c r="D12" s="4" t="s">
        <v>182</v>
      </c>
      <c r="E12" s="4" t="s">
        <v>54</v>
      </c>
      <c r="F12" s="4" t="s">
        <v>55</v>
      </c>
      <c r="G12" s="4" t="n">
        <v>13</v>
      </c>
      <c r="H12" s="5" t="n">
        <v>68000</v>
      </c>
      <c r="I12" s="5" t="n">
        <v>884000</v>
      </c>
      <c r="J12" s="4" t="s">
        <v>258</v>
      </c>
      <c r="K12" s="4" t="s">
        <v>357</v>
      </c>
      <c r="L12" s="4" t="s">
        <v>341</v>
      </c>
    </row>
    <row r="13" customFormat="false" ht="15" hidden="false" customHeight="false" outlineLevel="0" collapsed="false">
      <c r="A13" s="84" t="s">
        <v>358</v>
      </c>
      <c r="B13" s="85" t="n">
        <v>45566</v>
      </c>
      <c r="C13" s="84" t="s">
        <v>23</v>
      </c>
      <c r="D13" s="84" t="s">
        <v>147</v>
      </c>
      <c r="E13" s="84" t="s">
        <v>69</v>
      </c>
      <c r="F13" s="84" t="s">
        <v>70</v>
      </c>
      <c r="G13" s="84" t="n">
        <v>2</v>
      </c>
      <c r="H13" s="86" t="n">
        <v>88000</v>
      </c>
      <c r="I13" s="86" t="n">
        <v>176000</v>
      </c>
      <c r="J13" s="84" t="s">
        <v>259</v>
      </c>
      <c r="K13" s="84" t="s">
        <v>359</v>
      </c>
      <c r="L13" s="84" t="s">
        <v>341</v>
      </c>
    </row>
    <row r="14" customFormat="false" ht="15" hidden="false" customHeight="false" outlineLevel="0" collapsed="false">
      <c r="A14" s="4" t="s">
        <v>360</v>
      </c>
      <c r="B14" s="83" t="n">
        <v>45613</v>
      </c>
      <c r="C14" s="4" t="s">
        <v>95</v>
      </c>
      <c r="D14" s="4" t="s">
        <v>182</v>
      </c>
      <c r="E14" s="4" t="s">
        <v>66</v>
      </c>
      <c r="F14" s="4" t="s">
        <v>67</v>
      </c>
      <c r="G14" s="4" t="n">
        <v>10</v>
      </c>
      <c r="H14" s="5" t="n">
        <v>120000</v>
      </c>
      <c r="I14" s="5" t="n">
        <v>1200000</v>
      </c>
      <c r="J14" s="4" t="s">
        <v>258</v>
      </c>
      <c r="K14" s="4" t="s">
        <v>361</v>
      </c>
      <c r="L14" s="4" t="s">
        <v>341</v>
      </c>
    </row>
    <row r="15" customFormat="false" ht="15" hidden="false" customHeight="false" outlineLevel="0" collapsed="false">
      <c r="A15" s="84" t="s">
        <v>362</v>
      </c>
      <c r="B15" s="85" t="n">
        <v>45315</v>
      </c>
      <c r="C15" s="84" t="s">
        <v>101</v>
      </c>
      <c r="D15" s="84" t="s">
        <v>186</v>
      </c>
      <c r="E15" s="84" t="s">
        <v>50</v>
      </c>
      <c r="F15" s="84" t="s">
        <v>51</v>
      </c>
      <c r="G15" s="84" t="n">
        <v>13</v>
      </c>
      <c r="H15" s="86" t="n">
        <v>72000</v>
      </c>
      <c r="I15" s="86" t="n">
        <v>936000</v>
      </c>
      <c r="J15" s="84" t="s">
        <v>260</v>
      </c>
      <c r="K15" s="84" t="s">
        <v>363</v>
      </c>
      <c r="L15" s="84" t="s">
        <v>341</v>
      </c>
    </row>
    <row r="16" customFormat="false" ht="15" hidden="false" customHeight="false" outlineLevel="0" collapsed="false">
      <c r="A16" s="4" t="s">
        <v>364</v>
      </c>
      <c r="B16" s="83" t="n">
        <v>45411</v>
      </c>
      <c r="C16" s="4" t="s">
        <v>124</v>
      </c>
      <c r="D16" s="4" t="s">
        <v>198</v>
      </c>
      <c r="E16" s="4" t="s">
        <v>30</v>
      </c>
      <c r="F16" s="4" t="s">
        <v>31</v>
      </c>
      <c r="G16" s="4" t="n">
        <v>7</v>
      </c>
      <c r="H16" s="5" t="n">
        <v>95000</v>
      </c>
      <c r="I16" s="5" t="n">
        <v>665000</v>
      </c>
      <c r="J16" s="4" t="s">
        <v>260</v>
      </c>
      <c r="K16" s="4" t="s">
        <v>365</v>
      </c>
      <c r="L16" s="4" t="s">
        <v>341</v>
      </c>
    </row>
    <row r="17" customFormat="false" ht="15" hidden="false" customHeight="false" outlineLevel="0" collapsed="false">
      <c r="A17" s="84" t="s">
        <v>366</v>
      </c>
      <c r="B17" s="85" t="n">
        <v>45617</v>
      </c>
      <c r="C17" s="84" t="s">
        <v>124</v>
      </c>
      <c r="D17" s="84" t="s">
        <v>198</v>
      </c>
      <c r="E17" s="84" t="s">
        <v>66</v>
      </c>
      <c r="F17" s="84" t="s">
        <v>67</v>
      </c>
      <c r="G17" s="84" t="n">
        <v>3</v>
      </c>
      <c r="H17" s="86" t="n">
        <v>120000</v>
      </c>
      <c r="I17" s="86" t="n">
        <v>360000</v>
      </c>
      <c r="J17" s="84" t="s">
        <v>260</v>
      </c>
      <c r="K17" s="84" t="s">
        <v>367</v>
      </c>
      <c r="L17" s="84" t="s">
        <v>341</v>
      </c>
    </row>
    <row r="18" customFormat="false" ht="15" hidden="false" customHeight="false" outlineLevel="0" collapsed="false">
      <c r="A18" s="4" t="s">
        <v>368</v>
      </c>
      <c r="B18" s="83" t="n">
        <v>45399</v>
      </c>
      <c r="C18" s="4" t="s">
        <v>101</v>
      </c>
      <c r="D18" s="4" t="s">
        <v>186</v>
      </c>
      <c r="E18" s="4" t="s">
        <v>54</v>
      </c>
      <c r="F18" s="4" t="s">
        <v>55</v>
      </c>
      <c r="G18" s="4" t="n">
        <v>12</v>
      </c>
      <c r="H18" s="5" t="n">
        <v>68000</v>
      </c>
      <c r="I18" s="5" t="n">
        <v>816000</v>
      </c>
      <c r="J18" s="4" t="s">
        <v>259</v>
      </c>
      <c r="K18" s="4" t="s">
        <v>369</v>
      </c>
      <c r="L18" s="4" t="s">
        <v>341</v>
      </c>
    </row>
    <row r="19" customFormat="false" ht="15" hidden="false" customHeight="false" outlineLevel="0" collapsed="false">
      <c r="A19" s="84" t="s">
        <v>370</v>
      </c>
      <c r="B19" s="85" t="n">
        <v>45328</v>
      </c>
      <c r="C19" s="84" t="s">
        <v>95</v>
      </c>
      <c r="D19" s="84" t="s">
        <v>182</v>
      </c>
      <c r="E19" s="84" t="s">
        <v>108</v>
      </c>
      <c r="F19" s="84" t="s">
        <v>109</v>
      </c>
      <c r="G19" s="84" t="n">
        <v>3</v>
      </c>
      <c r="H19" s="86" t="n">
        <v>12000</v>
      </c>
      <c r="I19" s="86" t="n">
        <v>36000</v>
      </c>
      <c r="J19" s="84" t="s">
        <v>259</v>
      </c>
      <c r="K19" s="84" t="s">
        <v>371</v>
      </c>
      <c r="L19" s="84" t="s">
        <v>341</v>
      </c>
    </row>
    <row r="20" customFormat="false" ht="15" hidden="false" customHeight="false" outlineLevel="0" collapsed="false">
      <c r="A20" s="4" t="s">
        <v>372</v>
      </c>
      <c r="B20" s="83" t="n">
        <v>45375</v>
      </c>
      <c r="C20" s="4" t="s">
        <v>76</v>
      </c>
      <c r="D20" s="4" t="s">
        <v>174</v>
      </c>
      <c r="E20" s="4" t="s">
        <v>69</v>
      </c>
      <c r="F20" s="4" t="s">
        <v>70</v>
      </c>
      <c r="G20" s="4" t="n">
        <v>5</v>
      </c>
      <c r="H20" s="5" t="n">
        <v>88000</v>
      </c>
      <c r="I20" s="5" t="n">
        <v>440000</v>
      </c>
      <c r="J20" s="4" t="s">
        <v>259</v>
      </c>
      <c r="K20" s="4" t="s">
        <v>373</v>
      </c>
      <c r="L20" s="4" t="s">
        <v>341</v>
      </c>
    </row>
    <row r="21" customFormat="false" ht="15" hidden="false" customHeight="false" outlineLevel="0" collapsed="false">
      <c r="A21" s="84" t="s">
        <v>374</v>
      </c>
      <c r="B21" s="85" t="n">
        <v>45404</v>
      </c>
      <c r="C21" s="84" t="s">
        <v>101</v>
      </c>
      <c r="D21" s="84" t="s">
        <v>186</v>
      </c>
      <c r="E21" s="84" t="s">
        <v>62</v>
      </c>
      <c r="F21" s="84" t="s">
        <v>63</v>
      </c>
      <c r="G21" s="84" t="n">
        <v>14</v>
      </c>
      <c r="H21" s="86" t="n">
        <v>95000</v>
      </c>
      <c r="I21" s="86" t="n">
        <v>1330000</v>
      </c>
      <c r="J21" s="84" t="s">
        <v>258</v>
      </c>
      <c r="K21" s="84" t="s">
        <v>375</v>
      </c>
      <c r="L21" s="84" t="s">
        <v>341</v>
      </c>
    </row>
    <row r="22" customFormat="false" ht="15" hidden="false" customHeight="false" outlineLevel="0" collapsed="false">
      <c r="A22" s="4" t="s">
        <v>376</v>
      </c>
      <c r="B22" s="83" t="n">
        <v>45308</v>
      </c>
      <c r="C22" s="4" t="s">
        <v>112</v>
      </c>
      <c r="D22" s="4" t="s">
        <v>194</v>
      </c>
      <c r="E22" s="4" t="s">
        <v>62</v>
      </c>
      <c r="F22" s="4" t="s">
        <v>63</v>
      </c>
      <c r="G22" s="4" t="n">
        <v>7</v>
      </c>
      <c r="H22" s="5" t="n">
        <v>95000</v>
      </c>
      <c r="I22" s="5" t="n">
        <v>665000</v>
      </c>
      <c r="J22" s="4" t="s">
        <v>260</v>
      </c>
      <c r="K22" s="4" t="s">
        <v>377</v>
      </c>
      <c r="L22" s="4" t="s">
        <v>341</v>
      </c>
    </row>
    <row r="23" customFormat="false" ht="15" hidden="false" customHeight="false" outlineLevel="0" collapsed="false">
      <c r="A23" s="84" t="s">
        <v>378</v>
      </c>
      <c r="B23" s="85" t="n">
        <v>45400</v>
      </c>
      <c r="C23" s="84" t="s">
        <v>130</v>
      </c>
      <c r="D23" s="84" t="s">
        <v>202</v>
      </c>
      <c r="E23" s="84" t="s">
        <v>97</v>
      </c>
      <c r="F23" s="84" t="s">
        <v>98</v>
      </c>
      <c r="G23" s="84" t="n">
        <v>15</v>
      </c>
      <c r="H23" s="86" t="n">
        <v>5500</v>
      </c>
      <c r="I23" s="86" t="n">
        <v>82500</v>
      </c>
      <c r="J23" s="84" t="s">
        <v>259</v>
      </c>
      <c r="K23" s="84" t="s">
        <v>379</v>
      </c>
      <c r="L23" s="84" t="s">
        <v>341</v>
      </c>
    </row>
    <row r="24" customFormat="false" ht="15" hidden="false" customHeight="false" outlineLevel="0" collapsed="false">
      <c r="A24" s="4" t="s">
        <v>380</v>
      </c>
      <c r="B24" s="83" t="n">
        <v>45400</v>
      </c>
      <c r="C24" s="4" t="s">
        <v>101</v>
      </c>
      <c r="D24" s="4" t="s">
        <v>186</v>
      </c>
      <c r="E24" s="4" t="s">
        <v>84</v>
      </c>
      <c r="F24" s="4" t="s">
        <v>85</v>
      </c>
      <c r="G24" s="4" t="n">
        <v>7</v>
      </c>
      <c r="H24" s="5" t="n">
        <v>62000</v>
      </c>
      <c r="I24" s="5" t="n">
        <v>434000</v>
      </c>
      <c r="J24" s="4" t="s">
        <v>259</v>
      </c>
      <c r="K24" s="4" t="s">
        <v>381</v>
      </c>
      <c r="L24" s="4" t="s">
        <v>341</v>
      </c>
    </row>
    <row r="25" customFormat="false" ht="15" hidden="false" customHeight="false" outlineLevel="0" collapsed="false">
      <c r="A25" s="84" t="s">
        <v>382</v>
      </c>
      <c r="B25" s="85" t="n">
        <v>45365</v>
      </c>
      <c r="C25" s="84" t="s">
        <v>42</v>
      </c>
      <c r="D25" s="84" t="s">
        <v>162</v>
      </c>
      <c r="E25" s="84" t="s">
        <v>34</v>
      </c>
      <c r="F25" s="84" t="s">
        <v>35</v>
      </c>
      <c r="G25" s="84" t="n">
        <v>4</v>
      </c>
      <c r="H25" s="86" t="n">
        <v>85000</v>
      </c>
      <c r="I25" s="86" t="n">
        <v>340000</v>
      </c>
      <c r="J25" s="84" t="s">
        <v>259</v>
      </c>
      <c r="K25" s="84" t="s">
        <v>383</v>
      </c>
      <c r="L25" s="84" t="s">
        <v>341</v>
      </c>
    </row>
    <row r="26" customFormat="false" ht="15" hidden="false" customHeight="false" outlineLevel="0" collapsed="false">
      <c r="A26" s="4" t="s">
        <v>384</v>
      </c>
      <c r="B26" s="83" t="n">
        <v>45567</v>
      </c>
      <c r="C26" s="4" t="s">
        <v>42</v>
      </c>
      <c r="D26" s="4" t="s">
        <v>162</v>
      </c>
      <c r="E26" s="4" t="s">
        <v>121</v>
      </c>
      <c r="F26" s="4" t="s">
        <v>122</v>
      </c>
      <c r="G26" s="4" t="n">
        <v>10</v>
      </c>
      <c r="H26" s="5" t="n">
        <v>12000</v>
      </c>
      <c r="I26" s="5" t="n">
        <v>120000</v>
      </c>
      <c r="J26" s="4" t="s">
        <v>260</v>
      </c>
      <c r="K26" s="4" t="s">
        <v>385</v>
      </c>
      <c r="L26" s="4" t="s">
        <v>341</v>
      </c>
    </row>
    <row r="27" customFormat="false" ht="15" hidden="false" customHeight="false" outlineLevel="0" collapsed="false">
      <c r="A27" s="84" t="s">
        <v>386</v>
      </c>
      <c r="B27" s="85" t="n">
        <v>45496</v>
      </c>
      <c r="C27" s="84" t="s">
        <v>48</v>
      </c>
      <c r="D27" s="84" t="s">
        <v>166</v>
      </c>
      <c r="E27" s="84" t="s">
        <v>50</v>
      </c>
      <c r="F27" s="84" t="s">
        <v>51</v>
      </c>
      <c r="G27" s="84" t="n">
        <v>3</v>
      </c>
      <c r="H27" s="86" t="n">
        <v>72000</v>
      </c>
      <c r="I27" s="86" t="n">
        <v>216000</v>
      </c>
      <c r="J27" s="84" t="s">
        <v>259</v>
      </c>
      <c r="K27" s="84" t="s">
        <v>387</v>
      </c>
      <c r="L27" s="84" t="s">
        <v>341</v>
      </c>
    </row>
    <row r="28" customFormat="false" ht="15" hidden="false" customHeight="false" outlineLevel="0" collapsed="false">
      <c r="A28" s="4" t="s">
        <v>388</v>
      </c>
      <c r="B28" s="83" t="n">
        <v>45338</v>
      </c>
      <c r="C28" s="4" t="s">
        <v>112</v>
      </c>
      <c r="D28" s="4" t="s">
        <v>194</v>
      </c>
      <c r="E28" s="4" t="s">
        <v>20</v>
      </c>
      <c r="F28" s="4" t="s">
        <v>21</v>
      </c>
      <c r="G28" s="4" t="n">
        <v>14</v>
      </c>
      <c r="H28" s="5" t="n">
        <v>195000</v>
      </c>
      <c r="I28" s="5" t="n">
        <v>2730000</v>
      </c>
      <c r="J28" s="4" t="s">
        <v>258</v>
      </c>
      <c r="K28" s="4" t="s">
        <v>389</v>
      </c>
      <c r="L28" s="4" t="s">
        <v>341</v>
      </c>
    </row>
    <row r="29" customFormat="false" ht="15" hidden="false" customHeight="false" outlineLevel="0" collapsed="false">
      <c r="A29" s="84" t="s">
        <v>390</v>
      </c>
      <c r="B29" s="85" t="n">
        <v>45613</v>
      </c>
      <c r="C29" s="84" t="s">
        <v>28</v>
      </c>
      <c r="D29" s="84" t="s">
        <v>153</v>
      </c>
      <c r="E29" s="84" t="s">
        <v>114</v>
      </c>
      <c r="F29" s="84" t="s">
        <v>115</v>
      </c>
      <c r="G29" s="84" t="n">
        <v>7</v>
      </c>
      <c r="H29" s="86" t="n">
        <v>15000</v>
      </c>
      <c r="I29" s="86" t="n">
        <v>105000</v>
      </c>
      <c r="J29" s="84" t="s">
        <v>259</v>
      </c>
      <c r="K29" s="84" t="s">
        <v>391</v>
      </c>
      <c r="L29" s="84" t="s">
        <v>341</v>
      </c>
    </row>
    <row r="30" customFormat="false" ht="15" hidden="false" customHeight="false" outlineLevel="0" collapsed="false">
      <c r="A30" s="4" t="s">
        <v>392</v>
      </c>
      <c r="B30" s="83" t="n">
        <v>45489</v>
      </c>
      <c r="C30" s="4" t="s">
        <v>57</v>
      </c>
      <c r="D30" s="4" t="s">
        <v>170</v>
      </c>
      <c r="E30" s="4" t="s">
        <v>103</v>
      </c>
      <c r="F30" s="4" t="s">
        <v>104</v>
      </c>
      <c r="G30" s="4" t="n">
        <v>8</v>
      </c>
      <c r="H30" s="5" t="n">
        <v>7500</v>
      </c>
      <c r="I30" s="5" t="n">
        <v>60000</v>
      </c>
      <c r="J30" s="4" t="s">
        <v>259</v>
      </c>
      <c r="K30" s="4" t="s">
        <v>393</v>
      </c>
      <c r="L30" s="4" t="s">
        <v>341</v>
      </c>
    </row>
    <row r="31" customFormat="false" ht="15" hidden="false" customHeight="false" outlineLevel="0" collapsed="false">
      <c r="A31" s="84" t="s">
        <v>394</v>
      </c>
      <c r="B31" s="85" t="n">
        <v>45575</v>
      </c>
      <c r="C31" s="84" t="s">
        <v>124</v>
      </c>
      <c r="D31" s="84" t="s">
        <v>198</v>
      </c>
      <c r="E31" s="84" t="s">
        <v>13</v>
      </c>
      <c r="F31" s="84" t="s">
        <v>14</v>
      </c>
      <c r="G31" s="84" t="n">
        <v>11</v>
      </c>
      <c r="H31" s="86" t="n">
        <v>85000</v>
      </c>
      <c r="I31" s="86" t="n">
        <v>935000</v>
      </c>
      <c r="J31" s="84" t="s">
        <v>259</v>
      </c>
      <c r="K31" s="84" t="s">
        <v>395</v>
      </c>
      <c r="L31" s="84" t="s">
        <v>341</v>
      </c>
    </row>
    <row r="32" customFormat="false" ht="15" hidden="false" customHeight="false" outlineLevel="0" collapsed="false">
      <c r="A32" s="4" t="s">
        <v>396</v>
      </c>
      <c r="B32" s="83" t="n">
        <v>45641</v>
      </c>
      <c r="C32" s="4" t="s">
        <v>130</v>
      </c>
      <c r="D32" s="4" t="s">
        <v>202</v>
      </c>
      <c r="E32" s="4" t="s">
        <v>92</v>
      </c>
      <c r="F32" s="4" t="s">
        <v>93</v>
      </c>
      <c r="G32" s="4" t="n">
        <v>13</v>
      </c>
      <c r="H32" s="5" t="n">
        <v>18000</v>
      </c>
      <c r="I32" s="5" t="n">
        <v>234000</v>
      </c>
      <c r="J32" s="4" t="s">
        <v>260</v>
      </c>
      <c r="K32" s="4" t="s">
        <v>397</v>
      </c>
      <c r="L32" s="4" t="s">
        <v>341</v>
      </c>
    </row>
    <row r="33" customFormat="false" ht="15" hidden="false" customHeight="false" outlineLevel="0" collapsed="false">
      <c r="A33" s="84" t="s">
        <v>398</v>
      </c>
      <c r="B33" s="85" t="n">
        <v>45466</v>
      </c>
      <c r="C33" s="84" t="s">
        <v>23</v>
      </c>
      <c r="D33" s="84" t="s">
        <v>147</v>
      </c>
      <c r="E33" s="84" t="s">
        <v>59</v>
      </c>
      <c r="F33" s="84" t="s">
        <v>60</v>
      </c>
      <c r="G33" s="84" t="n">
        <v>7</v>
      </c>
      <c r="H33" s="86" t="n">
        <v>185000</v>
      </c>
      <c r="I33" s="86" t="n">
        <v>1295000</v>
      </c>
      <c r="J33" s="84" t="s">
        <v>258</v>
      </c>
      <c r="K33" s="84" t="s">
        <v>399</v>
      </c>
      <c r="L33" s="84" t="s">
        <v>341</v>
      </c>
    </row>
    <row r="34" customFormat="false" ht="15" hidden="false" customHeight="false" outlineLevel="0" collapsed="false">
      <c r="A34" s="4" t="s">
        <v>400</v>
      </c>
      <c r="B34" s="83" t="n">
        <v>45293</v>
      </c>
      <c r="C34" s="4" t="s">
        <v>106</v>
      </c>
      <c r="D34" s="4" t="s">
        <v>190</v>
      </c>
      <c r="E34" s="4" t="s">
        <v>121</v>
      </c>
      <c r="F34" s="4" t="s">
        <v>122</v>
      </c>
      <c r="G34" s="4" t="n">
        <v>5</v>
      </c>
      <c r="H34" s="5" t="n">
        <v>12000</v>
      </c>
      <c r="I34" s="5" t="n">
        <v>60000</v>
      </c>
      <c r="J34" s="4" t="s">
        <v>259</v>
      </c>
      <c r="K34" s="4" t="s">
        <v>401</v>
      </c>
      <c r="L34" s="4" t="s">
        <v>341</v>
      </c>
    </row>
    <row r="35" customFormat="false" ht="15" hidden="false" customHeight="false" outlineLevel="0" collapsed="false">
      <c r="A35" s="84" t="s">
        <v>402</v>
      </c>
      <c r="B35" s="85" t="n">
        <v>45551</v>
      </c>
      <c r="C35" s="84" t="s">
        <v>130</v>
      </c>
      <c r="D35" s="84" t="s">
        <v>202</v>
      </c>
      <c r="E35" s="84" t="s">
        <v>30</v>
      </c>
      <c r="F35" s="84" t="s">
        <v>31</v>
      </c>
      <c r="G35" s="84" t="n">
        <v>14</v>
      </c>
      <c r="H35" s="86" t="n">
        <v>95000</v>
      </c>
      <c r="I35" s="86" t="n">
        <v>1330000</v>
      </c>
      <c r="J35" s="84" t="s">
        <v>259</v>
      </c>
      <c r="K35" s="84" t="s">
        <v>403</v>
      </c>
      <c r="L35" s="84" t="s">
        <v>341</v>
      </c>
    </row>
    <row r="36" customFormat="false" ht="15" hidden="false" customHeight="false" outlineLevel="0" collapsed="false">
      <c r="A36" s="4" t="s">
        <v>404</v>
      </c>
      <c r="B36" s="83" t="n">
        <v>45619</v>
      </c>
      <c r="C36" s="4" t="s">
        <v>82</v>
      </c>
      <c r="D36" s="4" t="s">
        <v>178</v>
      </c>
      <c r="E36" s="4" t="s">
        <v>103</v>
      </c>
      <c r="F36" s="4" t="s">
        <v>104</v>
      </c>
      <c r="G36" s="4" t="n">
        <v>4</v>
      </c>
      <c r="H36" s="5" t="n">
        <v>7500</v>
      </c>
      <c r="I36" s="5" t="n">
        <v>30000</v>
      </c>
      <c r="J36" s="4" t="s">
        <v>258</v>
      </c>
      <c r="K36" s="4" t="s">
        <v>405</v>
      </c>
      <c r="L36" s="4" t="s">
        <v>341</v>
      </c>
    </row>
    <row r="37" customFormat="false" ht="15" hidden="false" customHeight="false" outlineLevel="0" collapsed="false">
      <c r="A37" s="84" t="s">
        <v>406</v>
      </c>
      <c r="B37" s="85" t="n">
        <v>45374</v>
      </c>
      <c r="C37" s="84" t="s">
        <v>82</v>
      </c>
      <c r="D37" s="84" t="s">
        <v>178</v>
      </c>
      <c r="E37" s="84" t="s">
        <v>126</v>
      </c>
      <c r="F37" s="84" t="s">
        <v>127</v>
      </c>
      <c r="G37" s="84" t="n">
        <v>15</v>
      </c>
      <c r="H37" s="86" t="n">
        <v>125000</v>
      </c>
      <c r="I37" s="86" t="n">
        <v>1875000</v>
      </c>
      <c r="J37" s="84" t="s">
        <v>259</v>
      </c>
      <c r="K37" s="84" t="s">
        <v>407</v>
      </c>
      <c r="L37" s="84" t="s">
        <v>341</v>
      </c>
    </row>
    <row r="38" customFormat="false" ht="15" hidden="false" customHeight="false" outlineLevel="0" collapsed="false">
      <c r="A38" s="4" t="s">
        <v>408</v>
      </c>
      <c r="B38" s="83" t="n">
        <v>45598</v>
      </c>
      <c r="C38" s="4" t="s">
        <v>48</v>
      </c>
      <c r="D38" s="4" t="s">
        <v>166</v>
      </c>
      <c r="E38" s="4" t="s">
        <v>84</v>
      </c>
      <c r="F38" s="4" t="s">
        <v>85</v>
      </c>
      <c r="G38" s="4" t="n">
        <v>1</v>
      </c>
      <c r="H38" s="5" t="n">
        <v>62000</v>
      </c>
      <c r="I38" s="5" t="n">
        <v>62000</v>
      </c>
      <c r="J38" s="4" t="s">
        <v>258</v>
      </c>
      <c r="K38" s="4" t="s">
        <v>409</v>
      </c>
      <c r="L38" s="4" t="s">
        <v>341</v>
      </c>
    </row>
    <row r="39" customFormat="false" ht="15" hidden="false" customHeight="false" outlineLevel="0" collapsed="false">
      <c r="A39" s="84" t="s">
        <v>410</v>
      </c>
      <c r="B39" s="85" t="n">
        <v>45449</v>
      </c>
      <c r="C39" s="84" t="s">
        <v>37</v>
      </c>
      <c r="D39" s="84" t="s">
        <v>157</v>
      </c>
      <c r="E39" s="84" t="s">
        <v>20</v>
      </c>
      <c r="F39" s="84" t="s">
        <v>21</v>
      </c>
      <c r="G39" s="84" t="n">
        <v>4</v>
      </c>
      <c r="H39" s="86" t="n">
        <v>195000</v>
      </c>
      <c r="I39" s="86" t="n">
        <v>780000</v>
      </c>
      <c r="J39" s="84" t="s">
        <v>259</v>
      </c>
      <c r="K39" s="84" t="s">
        <v>411</v>
      </c>
      <c r="L39" s="84" t="s">
        <v>341</v>
      </c>
    </row>
    <row r="40" customFormat="false" ht="15" hidden="false" customHeight="false" outlineLevel="0" collapsed="false">
      <c r="A40" s="4" t="s">
        <v>412</v>
      </c>
      <c r="B40" s="83" t="n">
        <v>45335</v>
      </c>
      <c r="C40" s="4" t="s">
        <v>106</v>
      </c>
      <c r="D40" s="4" t="s">
        <v>190</v>
      </c>
      <c r="E40" s="4" t="s">
        <v>84</v>
      </c>
      <c r="F40" s="4" t="s">
        <v>85</v>
      </c>
      <c r="G40" s="4" t="n">
        <v>14</v>
      </c>
      <c r="H40" s="5" t="n">
        <v>62000</v>
      </c>
      <c r="I40" s="5" t="n">
        <v>868000</v>
      </c>
      <c r="J40" s="4" t="s">
        <v>258</v>
      </c>
      <c r="K40" s="4" t="s">
        <v>413</v>
      </c>
      <c r="L40" s="4" t="s">
        <v>341</v>
      </c>
    </row>
    <row r="41" customFormat="false" ht="15" hidden="false" customHeight="false" outlineLevel="0" collapsed="false">
      <c r="A41" s="84" t="s">
        <v>414</v>
      </c>
      <c r="B41" s="85" t="n">
        <v>45356</v>
      </c>
      <c r="C41" s="84" t="s">
        <v>28</v>
      </c>
      <c r="D41" s="84" t="s">
        <v>153</v>
      </c>
      <c r="E41" s="84" t="s">
        <v>114</v>
      </c>
      <c r="F41" s="84" t="s">
        <v>115</v>
      </c>
      <c r="G41" s="84" t="n">
        <v>8</v>
      </c>
      <c r="H41" s="86" t="n">
        <v>15000</v>
      </c>
      <c r="I41" s="86" t="n">
        <v>120000</v>
      </c>
      <c r="J41" s="84" t="s">
        <v>259</v>
      </c>
      <c r="K41" s="84" t="s">
        <v>415</v>
      </c>
      <c r="L41" s="84" t="s">
        <v>341</v>
      </c>
    </row>
    <row r="42" customFormat="false" ht="15" hidden="false" customHeight="false" outlineLevel="0" collapsed="false">
      <c r="A42" s="4" t="s">
        <v>416</v>
      </c>
      <c r="B42" s="83" t="n">
        <v>45427</v>
      </c>
      <c r="C42" s="4" t="s">
        <v>82</v>
      </c>
      <c r="D42" s="4" t="s">
        <v>178</v>
      </c>
      <c r="E42" s="4" t="s">
        <v>103</v>
      </c>
      <c r="F42" s="4" t="s">
        <v>104</v>
      </c>
      <c r="G42" s="4" t="n">
        <v>7</v>
      </c>
      <c r="H42" s="5" t="n">
        <v>7500</v>
      </c>
      <c r="I42" s="5" t="n">
        <v>52500</v>
      </c>
      <c r="J42" s="4" t="s">
        <v>258</v>
      </c>
      <c r="K42" s="4" t="s">
        <v>417</v>
      </c>
      <c r="L42" s="4" t="s">
        <v>341</v>
      </c>
    </row>
    <row r="43" customFormat="false" ht="15" hidden="false" customHeight="false" outlineLevel="0" collapsed="false">
      <c r="A43" s="84" t="s">
        <v>418</v>
      </c>
      <c r="B43" s="85" t="n">
        <v>45645</v>
      </c>
      <c r="C43" s="84" t="s">
        <v>37</v>
      </c>
      <c r="D43" s="84" t="s">
        <v>157</v>
      </c>
      <c r="E43" s="84" t="s">
        <v>117</v>
      </c>
      <c r="F43" s="84" t="s">
        <v>118</v>
      </c>
      <c r="G43" s="84" t="n">
        <v>5</v>
      </c>
      <c r="H43" s="86" t="n">
        <v>18000</v>
      </c>
      <c r="I43" s="86" t="n">
        <v>90000</v>
      </c>
      <c r="J43" s="84" t="s">
        <v>260</v>
      </c>
      <c r="K43" s="84" t="s">
        <v>419</v>
      </c>
      <c r="L43" s="84" t="s">
        <v>341</v>
      </c>
    </row>
    <row r="44" customFormat="false" ht="15" hidden="false" customHeight="false" outlineLevel="0" collapsed="false">
      <c r="A44" s="4" t="s">
        <v>420</v>
      </c>
      <c r="B44" s="83" t="n">
        <v>45624</v>
      </c>
      <c r="C44" s="4" t="s">
        <v>48</v>
      </c>
      <c r="D44" s="4" t="s">
        <v>166</v>
      </c>
      <c r="E44" s="4" t="s">
        <v>78</v>
      </c>
      <c r="F44" s="4" t="s">
        <v>79</v>
      </c>
      <c r="G44" s="4" t="n">
        <v>15</v>
      </c>
      <c r="H44" s="5" t="n">
        <v>75000</v>
      </c>
      <c r="I44" s="5" t="n">
        <v>1125000</v>
      </c>
      <c r="J44" s="4" t="s">
        <v>259</v>
      </c>
      <c r="K44" s="4" t="s">
        <v>421</v>
      </c>
      <c r="L44" s="4" t="s">
        <v>341</v>
      </c>
    </row>
    <row r="45" customFormat="false" ht="15" hidden="false" customHeight="false" outlineLevel="0" collapsed="false">
      <c r="A45" s="84" t="s">
        <v>422</v>
      </c>
      <c r="B45" s="85" t="n">
        <v>45353</v>
      </c>
      <c r="C45" s="84" t="s">
        <v>37</v>
      </c>
      <c r="D45" s="84" t="s">
        <v>157</v>
      </c>
      <c r="E45" s="84" t="s">
        <v>50</v>
      </c>
      <c r="F45" s="84" t="s">
        <v>51</v>
      </c>
      <c r="G45" s="84" t="n">
        <v>2</v>
      </c>
      <c r="H45" s="86" t="n">
        <v>72000</v>
      </c>
      <c r="I45" s="86" t="n">
        <v>144000</v>
      </c>
      <c r="J45" s="84" t="s">
        <v>260</v>
      </c>
      <c r="K45" s="84" t="s">
        <v>423</v>
      </c>
      <c r="L45" s="84" t="s">
        <v>341</v>
      </c>
    </row>
    <row r="46" customFormat="false" ht="15" hidden="false" customHeight="false" outlineLevel="0" collapsed="false">
      <c r="A46" s="4" t="s">
        <v>424</v>
      </c>
      <c r="B46" s="83" t="n">
        <v>45593</v>
      </c>
      <c r="C46" s="4" t="s">
        <v>82</v>
      </c>
      <c r="D46" s="4" t="s">
        <v>178</v>
      </c>
      <c r="E46" s="4" t="s">
        <v>50</v>
      </c>
      <c r="F46" s="4" t="s">
        <v>51</v>
      </c>
      <c r="G46" s="4" t="n">
        <v>10</v>
      </c>
      <c r="H46" s="5" t="n">
        <v>72000</v>
      </c>
      <c r="I46" s="5" t="n">
        <v>720000</v>
      </c>
      <c r="J46" s="4" t="s">
        <v>258</v>
      </c>
      <c r="K46" s="4" t="s">
        <v>425</v>
      </c>
      <c r="L46" s="4" t="s">
        <v>341</v>
      </c>
    </row>
    <row r="47" customFormat="false" ht="15" hidden="false" customHeight="false" outlineLevel="0" collapsed="false">
      <c r="A47" s="84" t="s">
        <v>426</v>
      </c>
      <c r="B47" s="85" t="n">
        <v>45328</v>
      </c>
      <c r="C47" s="84" t="s">
        <v>106</v>
      </c>
      <c r="D47" s="84" t="s">
        <v>190</v>
      </c>
      <c r="E47" s="84" t="s">
        <v>108</v>
      </c>
      <c r="F47" s="84" t="s">
        <v>109</v>
      </c>
      <c r="G47" s="84" t="n">
        <v>1</v>
      </c>
      <c r="H47" s="86" t="n">
        <v>12000</v>
      </c>
      <c r="I47" s="86" t="n">
        <v>12000</v>
      </c>
      <c r="J47" s="84" t="s">
        <v>258</v>
      </c>
      <c r="K47" s="84" t="s">
        <v>427</v>
      </c>
      <c r="L47" s="84" t="s">
        <v>341</v>
      </c>
    </row>
    <row r="48" customFormat="false" ht="15" hidden="false" customHeight="false" outlineLevel="0" collapsed="false">
      <c r="A48" s="4" t="s">
        <v>428</v>
      </c>
      <c r="B48" s="83" t="n">
        <v>45308</v>
      </c>
      <c r="C48" s="4" t="s">
        <v>124</v>
      </c>
      <c r="D48" s="4" t="s">
        <v>198</v>
      </c>
      <c r="E48" s="4" t="s">
        <v>62</v>
      </c>
      <c r="F48" s="4" t="s">
        <v>63</v>
      </c>
      <c r="G48" s="4" t="n">
        <v>2</v>
      </c>
      <c r="H48" s="5" t="n">
        <v>95000</v>
      </c>
      <c r="I48" s="5" t="n">
        <v>190000</v>
      </c>
      <c r="J48" s="4" t="s">
        <v>259</v>
      </c>
      <c r="K48" s="4" t="s">
        <v>429</v>
      </c>
      <c r="L48" s="4" t="s">
        <v>341</v>
      </c>
    </row>
    <row r="49" customFormat="false" ht="15" hidden="false" customHeight="false" outlineLevel="0" collapsed="false">
      <c r="A49" s="84" t="s">
        <v>430</v>
      </c>
      <c r="B49" s="85" t="n">
        <v>45434</v>
      </c>
      <c r="C49" s="84" t="s">
        <v>101</v>
      </c>
      <c r="D49" s="84" t="s">
        <v>186</v>
      </c>
      <c r="E49" s="84" t="s">
        <v>84</v>
      </c>
      <c r="F49" s="84" t="s">
        <v>85</v>
      </c>
      <c r="G49" s="84" t="n">
        <v>4</v>
      </c>
      <c r="H49" s="86" t="n">
        <v>62000</v>
      </c>
      <c r="I49" s="86" t="n">
        <v>248000</v>
      </c>
      <c r="J49" s="84" t="s">
        <v>259</v>
      </c>
      <c r="K49" s="84" t="s">
        <v>431</v>
      </c>
      <c r="L49" s="84" t="s">
        <v>341</v>
      </c>
    </row>
    <row r="50" customFormat="false" ht="15" hidden="false" customHeight="false" outlineLevel="0" collapsed="false">
      <c r="A50" s="4" t="s">
        <v>432</v>
      </c>
      <c r="B50" s="83" t="n">
        <v>45584</v>
      </c>
      <c r="C50" s="4" t="s">
        <v>95</v>
      </c>
      <c r="D50" s="4" t="s">
        <v>182</v>
      </c>
      <c r="E50" s="4" t="s">
        <v>84</v>
      </c>
      <c r="F50" s="4" t="s">
        <v>85</v>
      </c>
      <c r="G50" s="4" t="n">
        <v>4</v>
      </c>
      <c r="H50" s="5" t="n">
        <v>62000</v>
      </c>
      <c r="I50" s="5" t="n">
        <v>248000</v>
      </c>
      <c r="J50" s="4" t="s">
        <v>260</v>
      </c>
      <c r="K50" s="4" t="s">
        <v>433</v>
      </c>
      <c r="L50" s="4" t="s">
        <v>341</v>
      </c>
    </row>
    <row r="51" customFormat="false" ht="15" hidden="false" customHeight="false" outlineLevel="0" collapsed="false">
      <c r="A51" s="84" t="s">
        <v>434</v>
      </c>
      <c r="B51" s="85" t="n">
        <v>45389</v>
      </c>
      <c r="C51" s="84" t="s">
        <v>23</v>
      </c>
      <c r="D51" s="84" t="s">
        <v>147</v>
      </c>
      <c r="E51" s="84" t="s">
        <v>30</v>
      </c>
      <c r="F51" s="84" t="s">
        <v>31</v>
      </c>
      <c r="G51" s="84" t="n">
        <v>11</v>
      </c>
      <c r="H51" s="86" t="n">
        <v>95000</v>
      </c>
      <c r="I51" s="86" t="n">
        <v>1045000</v>
      </c>
      <c r="J51" s="84" t="s">
        <v>260</v>
      </c>
      <c r="K51" s="84" t="s">
        <v>435</v>
      </c>
      <c r="L51" s="84" t="s">
        <v>341</v>
      </c>
    </row>
    <row r="52" customFormat="false" ht="15" hidden="false" customHeight="false" outlineLevel="0" collapsed="false">
      <c r="A52" s="4" t="s">
        <v>436</v>
      </c>
      <c r="B52" s="83" t="n">
        <v>45508</v>
      </c>
      <c r="C52" s="4" t="s">
        <v>57</v>
      </c>
      <c r="D52" s="4" t="s">
        <v>170</v>
      </c>
      <c r="E52" s="4" t="s">
        <v>78</v>
      </c>
      <c r="F52" s="4" t="s">
        <v>79</v>
      </c>
      <c r="G52" s="4" t="n">
        <v>14</v>
      </c>
      <c r="H52" s="5" t="n">
        <v>75000</v>
      </c>
      <c r="I52" s="5" t="n">
        <v>1050000</v>
      </c>
      <c r="J52" s="4" t="s">
        <v>259</v>
      </c>
      <c r="K52" s="4" t="s">
        <v>437</v>
      </c>
      <c r="L52" s="4" t="s">
        <v>341</v>
      </c>
    </row>
    <row r="53" customFormat="false" ht="15" hidden="false" customHeight="false" outlineLevel="0" collapsed="false">
      <c r="A53" s="84" t="s">
        <v>438</v>
      </c>
      <c r="B53" s="85" t="n">
        <v>45636</v>
      </c>
      <c r="C53" s="84" t="s">
        <v>101</v>
      </c>
      <c r="D53" s="84" t="s">
        <v>186</v>
      </c>
      <c r="E53" s="84" t="s">
        <v>108</v>
      </c>
      <c r="F53" s="84" t="s">
        <v>109</v>
      </c>
      <c r="G53" s="84" t="n">
        <v>2</v>
      </c>
      <c r="H53" s="86" t="n">
        <v>12000</v>
      </c>
      <c r="I53" s="86" t="n">
        <v>24000</v>
      </c>
      <c r="J53" s="84" t="s">
        <v>258</v>
      </c>
      <c r="K53" s="84" t="s">
        <v>439</v>
      </c>
      <c r="L53" s="84" t="s">
        <v>341</v>
      </c>
    </row>
    <row r="54" customFormat="false" ht="15" hidden="false" customHeight="false" outlineLevel="0" collapsed="false">
      <c r="A54" s="87" t="s">
        <v>440</v>
      </c>
      <c r="B54" s="87"/>
      <c r="C54" s="87"/>
      <c r="D54" s="87"/>
      <c r="E54" s="87"/>
      <c r="F54" s="87"/>
      <c r="G54" s="87"/>
      <c r="H54" s="87"/>
      <c r="I54" s="88" t="n">
        <f aca="false">SUM(I4:I53)</f>
        <v>26453500</v>
      </c>
    </row>
  </sheetData>
  <mergeCells count="3">
    <mergeCell ref="A1:L1"/>
    <mergeCell ref="A2:L2"/>
    <mergeCell ref="A54:H54"/>
  </mergeCells>
  <dataValidations count="1">
    <dataValidation allowBlank="false" errorStyle="stop" operator="between" showDropDown="false" showErrorMessage="false" showInputMessage="false" sqref="J4:J200" type="list">
      <formula1>"Cash,Bank Transfer,Credit"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5" min="5" style="0" width="10"/>
    <col collapsed="false" customWidth="true" hidden="false" outlineLevel="0" max="6" min="6" style="0" width="22"/>
    <col collapsed="false" customWidth="true" hidden="false" outlineLevel="0" max="7" min="7" style="0" width="6"/>
    <col collapsed="false" customWidth="true" hidden="false" outlineLevel="0" max="8" min="8" style="0" width="13"/>
    <col collapsed="false" customWidth="true" hidden="false" outlineLevel="0" max="9" min="9" style="0" width="9"/>
    <col collapsed="false" customWidth="true" hidden="false" outlineLevel="0" max="10" min="10" style="0" width="13"/>
    <col collapsed="false" customWidth="true" hidden="false" outlineLevel="0" max="12" min="11" style="0" width="15"/>
    <col collapsed="false" customWidth="true" hidden="false" outlineLevel="0" max="14" min="13" style="0" width="13"/>
  </cols>
  <sheetData>
    <row r="1" customFormat="false" ht="30" hidden="false" customHeight="true" outlineLevel="0" collapsed="false">
      <c r="A1" s="1" t="s">
        <v>441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1.75" hidden="false" customHeight="true" outlineLevel="0" collapsed="false">
      <c r="A2" s="2" t="s">
        <v>442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A3" s="89" t="s">
        <v>443</v>
      </c>
      <c r="B3" s="89" t="s">
        <v>334</v>
      </c>
      <c r="C3" s="89" t="s">
        <v>234</v>
      </c>
      <c r="D3" s="89" t="s">
        <v>235</v>
      </c>
      <c r="E3" s="89" t="s">
        <v>2</v>
      </c>
      <c r="F3" s="89" t="s">
        <v>3</v>
      </c>
      <c r="G3" s="89" t="s">
        <v>335</v>
      </c>
      <c r="H3" s="89" t="s">
        <v>444</v>
      </c>
      <c r="I3" s="89" t="s">
        <v>445</v>
      </c>
      <c r="J3" s="89" t="s">
        <v>446</v>
      </c>
      <c r="K3" s="89" t="s">
        <v>447</v>
      </c>
      <c r="L3" s="89" t="s">
        <v>255</v>
      </c>
      <c r="M3" s="89" t="s">
        <v>448</v>
      </c>
      <c r="N3" s="89" t="s">
        <v>449</v>
      </c>
    </row>
    <row r="4" customFormat="false" ht="15" hidden="false" customHeight="false" outlineLevel="0" collapsed="false">
      <c r="A4" s="4" t="s">
        <v>450</v>
      </c>
      <c r="B4" s="83" t="n">
        <v>45465</v>
      </c>
      <c r="C4" s="4" t="s">
        <v>316</v>
      </c>
      <c r="D4" s="4" t="s">
        <v>317</v>
      </c>
      <c r="E4" s="4" t="s">
        <v>30</v>
      </c>
      <c r="F4" s="4" t="s">
        <v>31</v>
      </c>
      <c r="G4" s="4" t="n">
        <v>2</v>
      </c>
      <c r="H4" s="5" t="n">
        <v>125000</v>
      </c>
      <c r="I4" s="90" t="n">
        <v>0.02</v>
      </c>
      <c r="J4" s="5" t="n">
        <v>122500</v>
      </c>
      <c r="K4" s="5" t="n">
        <v>245000</v>
      </c>
      <c r="L4" s="4" t="s">
        <v>259</v>
      </c>
      <c r="M4" s="5" t="n">
        <v>245000</v>
      </c>
      <c r="N4" s="5" t="n">
        <v>0</v>
      </c>
    </row>
    <row r="5" customFormat="false" ht="15" hidden="false" customHeight="false" outlineLevel="0" collapsed="false">
      <c r="A5" s="91" t="s">
        <v>451</v>
      </c>
      <c r="B5" s="92" t="n">
        <v>45521</v>
      </c>
      <c r="C5" s="91" t="s">
        <v>242</v>
      </c>
      <c r="D5" s="91" t="s">
        <v>243</v>
      </c>
      <c r="E5" s="91" t="s">
        <v>73</v>
      </c>
      <c r="F5" s="91" t="s">
        <v>74</v>
      </c>
      <c r="G5" s="91" t="n">
        <v>2</v>
      </c>
      <c r="H5" s="93" t="n">
        <v>85000</v>
      </c>
      <c r="I5" s="94" t="n">
        <v>0.03</v>
      </c>
      <c r="J5" s="93" t="n">
        <v>82450</v>
      </c>
      <c r="K5" s="93" t="n">
        <v>164900</v>
      </c>
      <c r="L5" s="91" t="s">
        <v>261</v>
      </c>
      <c r="M5" s="93" t="n">
        <v>82450</v>
      </c>
      <c r="N5" s="95" t="n">
        <v>82450</v>
      </c>
    </row>
    <row r="6" customFormat="false" ht="15" hidden="false" customHeight="false" outlineLevel="0" collapsed="false">
      <c r="A6" s="4" t="s">
        <v>452</v>
      </c>
      <c r="B6" s="83" t="n">
        <v>45330</v>
      </c>
      <c r="C6" s="4" t="s">
        <v>252</v>
      </c>
      <c r="D6" s="4" t="s">
        <v>253</v>
      </c>
      <c r="E6" s="4" t="s">
        <v>92</v>
      </c>
      <c r="F6" s="4" t="s">
        <v>93</v>
      </c>
      <c r="G6" s="4" t="n">
        <v>1</v>
      </c>
      <c r="H6" s="5" t="n">
        <v>26000</v>
      </c>
      <c r="I6" s="90" t="n">
        <v>0</v>
      </c>
      <c r="J6" s="5" t="n">
        <v>26000</v>
      </c>
      <c r="K6" s="5" t="n">
        <v>26000</v>
      </c>
      <c r="L6" s="4" t="s">
        <v>258</v>
      </c>
      <c r="M6" s="5" t="n">
        <v>26000</v>
      </c>
      <c r="N6" s="5" t="n">
        <v>0</v>
      </c>
    </row>
    <row r="7" customFormat="false" ht="15" hidden="false" customHeight="false" outlineLevel="0" collapsed="false">
      <c r="A7" s="91" t="s">
        <v>453</v>
      </c>
      <c r="B7" s="92" t="n">
        <v>45339</v>
      </c>
      <c r="C7" s="91" t="s">
        <v>326</v>
      </c>
      <c r="D7" s="91" t="s">
        <v>327</v>
      </c>
      <c r="E7" s="91" t="s">
        <v>126</v>
      </c>
      <c r="F7" s="91" t="s">
        <v>127</v>
      </c>
      <c r="G7" s="91" t="n">
        <v>2</v>
      </c>
      <c r="H7" s="93" t="n">
        <v>160000</v>
      </c>
      <c r="I7" s="94" t="n">
        <v>0.02</v>
      </c>
      <c r="J7" s="93" t="n">
        <v>156800</v>
      </c>
      <c r="K7" s="93" t="n">
        <v>313600</v>
      </c>
      <c r="L7" s="91" t="s">
        <v>261</v>
      </c>
      <c r="M7" s="93" t="n">
        <v>219520</v>
      </c>
      <c r="N7" s="95" t="n">
        <v>94080</v>
      </c>
    </row>
    <row r="8" customFormat="false" ht="15" hidden="false" customHeight="false" outlineLevel="0" collapsed="false">
      <c r="A8" s="4" t="s">
        <v>454</v>
      </c>
      <c r="B8" s="83" t="n">
        <v>45538</v>
      </c>
      <c r="C8" s="4" t="s">
        <v>244</v>
      </c>
      <c r="D8" s="4" t="s">
        <v>245</v>
      </c>
      <c r="E8" s="4" t="s">
        <v>69</v>
      </c>
      <c r="F8" s="4" t="s">
        <v>70</v>
      </c>
      <c r="G8" s="4" t="n">
        <v>1</v>
      </c>
      <c r="H8" s="5" t="n">
        <v>115000</v>
      </c>
      <c r="I8" s="90" t="n">
        <v>0.02</v>
      </c>
      <c r="J8" s="5" t="n">
        <v>112700</v>
      </c>
      <c r="K8" s="5" t="n">
        <v>112700</v>
      </c>
      <c r="L8" s="4" t="s">
        <v>261</v>
      </c>
      <c r="M8" s="5" t="n">
        <v>0</v>
      </c>
      <c r="N8" s="96" t="n">
        <v>112700</v>
      </c>
    </row>
    <row r="9" customFormat="false" ht="15" hidden="false" customHeight="false" outlineLevel="0" collapsed="false">
      <c r="A9" s="91" t="s">
        <v>455</v>
      </c>
      <c r="B9" s="92" t="n">
        <v>45491</v>
      </c>
      <c r="C9" s="91" t="s">
        <v>246</v>
      </c>
      <c r="D9" s="91" t="s">
        <v>247</v>
      </c>
      <c r="E9" s="91" t="s">
        <v>78</v>
      </c>
      <c r="F9" s="91" t="s">
        <v>79</v>
      </c>
      <c r="G9" s="91" t="n">
        <v>3</v>
      </c>
      <c r="H9" s="93" t="n">
        <v>98000</v>
      </c>
      <c r="I9" s="94" t="n">
        <v>0.05</v>
      </c>
      <c r="J9" s="93" t="n">
        <v>93100</v>
      </c>
      <c r="K9" s="93" t="n">
        <v>279300</v>
      </c>
      <c r="L9" s="91" t="s">
        <v>261</v>
      </c>
      <c r="M9" s="93" t="n">
        <v>139650</v>
      </c>
      <c r="N9" s="95" t="n">
        <v>139650</v>
      </c>
    </row>
    <row r="10" customFormat="false" ht="15" hidden="false" customHeight="false" outlineLevel="0" collapsed="false">
      <c r="A10" s="4" t="s">
        <v>456</v>
      </c>
      <c r="B10" s="83" t="n">
        <v>45389</v>
      </c>
      <c r="C10" s="4" t="s">
        <v>246</v>
      </c>
      <c r="D10" s="4" t="s">
        <v>247</v>
      </c>
      <c r="E10" s="4" t="s">
        <v>44</v>
      </c>
      <c r="F10" s="4" t="s">
        <v>45</v>
      </c>
      <c r="G10" s="4" t="n">
        <v>1</v>
      </c>
      <c r="H10" s="5" t="n">
        <v>99000</v>
      </c>
      <c r="I10" s="90" t="n">
        <v>0.07</v>
      </c>
      <c r="J10" s="5" t="n">
        <v>92070</v>
      </c>
      <c r="K10" s="5" t="n">
        <v>92070</v>
      </c>
      <c r="L10" s="4" t="s">
        <v>258</v>
      </c>
      <c r="M10" s="5" t="n">
        <v>92070</v>
      </c>
      <c r="N10" s="5" t="n">
        <v>0</v>
      </c>
    </row>
    <row r="11" customFormat="false" ht="15" hidden="false" customHeight="false" outlineLevel="0" collapsed="false">
      <c r="A11" s="91" t="s">
        <v>457</v>
      </c>
      <c r="B11" s="92" t="n">
        <v>45452</v>
      </c>
      <c r="C11" s="91" t="s">
        <v>238</v>
      </c>
      <c r="D11" s="91" t="s">
        <v>239</v>
      </c>
      <c r="E11" s="91" t="s">
        <v>20</v>
      </c>
      <c r="F11" s="91" t="s">
        <v>21</v>
      </c>
      <c r="G11" s="91" t="n">
        <v>5</v>
      </c>
      <c r="H11" s="93" t="n">
        <v>240000</v>
      </c>
      <c r="I11" s="94" t="n">
        <v>0.05</v>
      </c>
      <c r="J11" s="93" t="n">
        <v>228000</v>
      </c>
      <c r="K11" s="93" t="n">
        <v>1140000</v>
      </c>
      <c r="L11" s="91" t="s">
        <v>259</v>
      </c>
      <c r="M11" s="93" t="n">
        <v>0</v>
      </c>
      <c r="N11" s="95" t="n">
        <v>1140000</v>
      </c>
    </row>
    <row r="12" customFormat="false" ht="15" hidden="false" customHeight="false" outlineLevel="0" collapsed="false">
      <c r="A12" s="4" t="s">
        <v>458</v>
      </c>
      <c r="B12" s="83" t="n">
        <v>45552</v>
      </c>
      <c r="C12" s="4" t="s">
        <v>240</v>
      </c>
      <c r="D12" s="4" t="s">
        <v>241</v>
      </c>
      <c r="E12" s="4" t="s">
        <v>39</v>
      </c>
      <c r="F12" s="4" t="s">
        <v>40</v>
      </c>
      <c r="G12" s="4" t="n">
        <v>1</v>
      </c>
      <c r="H12" s="5" t="n">
        <v>58000</v>
      </c>
      <c r="I12" s="90" t="n">
        <v>0.07</v>
      </c>
      <c r="J12" s="5" t="n">
        <v>53940</v>
      </c>
      <c r="K12" s="5" t="n">
        <v>53940</v>
      </c>
      <c r="L12" s="4" t="s">
        <v>258</v>
      </c>
      <c r="M12" s="5" t="n">
        <v>53940</v>
      </c>
      <c r="N12" s="5" t="n">
        <v>0</v>
      </c>
    </row>
    <row r="13" customFormat="false" ht="15" hidden="false" customHeight="false" outlineLevel="0" collapsed="false">
      <c r="A13" s="91" t="s">
        <v>459</v>
      </c>
      <c r="B13" s="92" t="n">
        <v>45637</v>
      </c>
      <c r="C13" s="91" t="s">
        <v>321</v>
      </c>
      <c r="D13" s="91" t="s">
        <v>322</v>
      </c>
      <c r="E13" s="91" t="s">
        <v>50</v>
      </c>
      <c r="F13" s="91" t="s">
        <v>51</v>
      </c>
      <c r="G13" s="91" t="n">
        <v>4</v>
      </c>
      <c r="H13" s="93" t="n">
        <v>92000</v>
      </c>
      <c r="I13" s="94" t="n">
        <v>0</v>
      </c>
      <c r="J13" s="93" t="n">
        <v>92000</v>
      </c>
      <c r="K13" s="93" t="n">
        <v>368000</v>
      </c>
      <c r="L13" s="91" t="s">
        <v>259</v>
      </c>
      <c r="M13" s="93" t="n">
        <v>368000</v>
      </c>
      <c r="N13" s="93" t="n">
        <v>0</v>
      </c>
    </row>
    <row r="14" customFormat="false" ht="15" hidden="false" customHeight="false" outlineLevel="0" collapsed="false">
      <c r="A14" s="4" t="s">
        <v>460</v>
      </c>
      <c r="B14" s="83" t="n">
        <v>45596</v>
      </c>
      <c r="C14" s="4" t="s">
        <v>238</v>
      </c>
      <c r="D14" s="4" t="s">
        <v>239</v>
      </c>
      <c r="E14" s="4" t="s">
        <v>103</v>
      </c>
      <c r="F14" s="4" t="s">
        <v>104</v>
      </c>
      <c r="G14" s="4" t="n">
        <v>1</v>
      </c>
      <c r="H14" s="5" t="n">
        <v>11000</v>
      </c>
      <c r="I14" s="90" t="n">
        <v>0.05</v>
      </c>
      <c r="J14" s="5" t="n">
        <v>10450</v>
      </c>
      <c r="K14" s="5" t="n">
        <v>10450</v>
      </c>
      <c r="L14" s="4" t="s">
        <v>260</v>
      </c>
      <c r="M14" s="5" t="n">
        <v>10450</v>
      </c>
      <c r="N14" s="5" t="n">
        <v>0</v>
      </c>
    </row>
    <row r="15" customFormat="false" ht="15" hidden="false" customHeight="false" outlineLevel="0" collapsed="false">
      <c r="A15" s="91" t="s">
        <v>461</v>
      </c>
      <c r="B15" s="92" t="n">
        <v>45425</v>
      </c>
      <c r="C15" s="91" t="s">
        <v>244</v>
      </c>
      <c r="D15" s="91" t="s">
        <v>245</v>
      </c>
      <c r="E15" s="91" t="s">
        <v>114</v>
      </c>
      <c r="F15" s="91" t="s">
        <v>115</v>
      </c>
      <c r="G15" s="91" t="n">
        <v>3</v>
      </c>
      <c r="H15" s="93" t="n">
        <v>21000</v>
      </c>
      <c r="I15" s="94" t="n">
        <v>0.02</v>
      </c>
      <c r="J15" s="93" t="n">
        <v>20580</v>
      </c>
      <c r="K15" s="93" t="n">
        <v>61740</v>
      </c>
      <c r="L15" s="91" t="s">
        <v>260</v>
      </c>
      <c r="M15" s="93" t="n">
        <v>61740</v>
      </c>
      <c r="N15" s="93" t="n">
        <v>0</v>
      </c>
    </row>
    <row r="16" customFormat="false" ht="15" hidden="false" customHeight="false" outlineLevel="0" collapsed="false">
      <c r="A16" s="4" t="s">
        <v>462</v>
      </c>
      <c r="B16" s="83" t="n">
        <v>45494</v>
      </c>
      <c r="C16" s="4" t="s">
        <v>242</v>
      </c>
      <c r="D16" s="4" t="s">
        <v>243</v>
      </c>
      <c r="E16" s="4" t="s">
        <v>114</v>
      </c>
      <c r="F16" s="4" t="s">
        <v>115</v>
      </c>
      <c r="G16" s="4" t="n">
        <v>3</v>
      </c>
      <c r="H16" s="5" t="n">
        <v>21000</v>
      </c>
      <c r="I16" s="90" t="n">
        <v>0.05</v>
      </c>
      <c r="J16" s="5" t="n">
        <v>19950</v>
      </c>
      <c r="K16" s="5" t="n">
        <v>59850</v>
      </c>
      <c r="L16" s="4" t="s">
        <v>260</v>
      </c>
      <c r="M16" s="5" t="n">
        <v>59850</v>
      </c>
      <c r="N16" s="5" t="n">
        <v>0</v>
      </c>
    </row>
    <row r="17" customFormat="false" ht="15" hidden="false" customHeight="false" outlineLevel="0" collapsed="false">
      <c r="A17" s="91" t="s">
        <v>463</v>
      </c>
      <c r="B17" s="92" t="n">
        <v>45329</v>
      </c>
      <c r="C17" s="91" t="s">
        <v>238</v>
      </c>
      <c r="D17" s="91" t="s">
        <v>239</v>
      </c>
      <c r="E17" s="91" t="s">
        <v>78</v>
      </c>
      <c r="F17" s="91" t="s">
        <v>79</v>
      </c>
      <c r="G17" s="91" t="n">
        <v>5</v>
      </c>
      <c r="H17" s="93" t="n">
        <v>98000</v>
      </c>
      <c r="I17" s="94" t="n">
        <v>0.07</v>
      </c>
      <c r="J17" s="93" t="n">
        <v>91140</v>
      </c>
      <c r="K17" s="93" t="n">
        <v>455700</v>
      </c>
      <c r="L17" s="91" t="s">
        <v>258</v>
      </c>
      <c r="M17" s="93" t="n">
        <v>455700</v>
      </c>
      <c r="N17" s="93" t="n">
        <v>0</v>
      </c>
    </row>
    <row r="18" customFormat="false" ht="15" hidden="false" customHeight="false" outlineLevel="0" collapsed="false">
      <c r="A18" s="4" t="s">
        <v>464</v>
      </c>
      <c r="B18" s="83" t="n">
        <v>45329</v>
      </c>
      <c r="C18" s="4" t="s">
        <v>296</v>
      </c>
      <c r="D18" s="4" t="s">
        <v>297</v>
      </c>
      <c r="E18" s="4" t="s">
        <v>44</v>
      </c>
      <c r="F18" s="4" t="s">
        <v>45</v>
      </c>
      <c r="G18" s="4" t="n">
        <v>5</v>
      </c>
      <c r="H18" s="5" t="n">
        <v>99000</v>
      </c>
      <c r="I18" s="90" t="n">
        <v>0.03</v>
      </c>
      <c r="J18" s="5" t="n">
        <v>96030</v>
      </c>
      <c r="K18" s="5" t="n">
        <v>480150</v>
      </c>
      <c r="L18" s="4" t="s">
        <v>259</v>
      </c>
      <c r="M18" s="5" t="n">
        <v>144045</v>
      </c>
      <c r="N18" s="96" t="n">
        <v>336105</v>
      </c>
    </row>
    <row r="19" customFormat="false" ht="15" hidden="false" customHeight="false" outlineLevel="0" collapsed="false">
      <c r="A19" s="91" t="s">
        <v>465</v>
      </c>
      <c r="B19" s="92" t="n">
        <v>45327</v>
      </c>
      <c r="C19" s="91" t="s">
        <v>326</v>
      </c>
      <c r="D19" s="91" t="s">
        <v>327</v>
      </c>
      <c r="E19" s="91" t="s">
        <v>50</v>
      </c>
      <c r="F19" s="91" t="s">
        <v>51</v>
      </c>
      <c r="G19" s="91" t="n">
        <v>3</v>
      </c>
      <c r="H19" s="93" t="n">
        <v>92000</v>
      </c>
      <c r="I19" s="94" t="n">
        <v>0.03</v>
      </c>
      <c r="J19" s="93" t="n">
        <v>89240</v>
      </c>
      <c r="K19" s="93" t="n">
        <v>267720</v>
      </c>
      <c r="L19" s="91" t="s">
        <v>259</v>
      </c>
      <c r="M19" s="93" t="n">
        <v>187404</v>
      </c>
      <c r="N19" s="95" t="n">
        <v>80316</v>
      </c>
    </row>
    <row r="20" customFormat="false" ht="15" hidden="false" customHeight="false" outlineLevel="0" collapsed="false">
      <c r="A20" s="4" t="s">
        <v>466</v>
      </c>
      <c r="B20" s="83" t="n">
        <v>45570</v>
      </c>
      <c r="C20" s="4" t="s">
        <v>311</v>
      </c>
      <c r="D20" s="4" t="s">
        <v>312</v>
      </c>
      <c r="E20" s="4" t="s">
        <v>59</v>
      </c>
      <c r="F20" s="4" t="s">
        <v>60</v>
      </c>
      <c r="G20" s="4" t="n">
        <v>5</v>
      </c>
      <c r="H20" s="5" t="n">
        <v>225000</v>
      </c>
      <c r="I20" s="90" t="n">
        <v>0.1</v>
      </c>
      <c r="J20" s="5" t="n">
        <v>202500</v>
      </c>
      <c r="K20" s="5" t="n">
        <v>1012500</v>
      </c>
      <c r="L20" s="4" t="s">
        <v>258</v>
      </c>
      <c r="M20" s="5" t="n">
        <v>1012500</v>
      </c>
      <c r="N20" s="5" t="n">
        <v>0</v>
      </c>
    </row>
    <row r="21" customFormat="false" ht="15" hidden="false" customHeight="false" outlineLevel="0" collapsed="false">
      <c r="A21" s="91" t="s">
        <v>467</v>
      </c>
      <c r="B21" s="92" t="n">
        <v>45633</v>
      </c>
      <c r="C21" s="91" t="s">
        <v>321</v>
      </c>
      <c r="D21" s="91" t="s">
        <v>322</v>
      </c>
      <c r="E21" s="91" t="s">
        <v>92</v>
      </c>
      <c r="F21" s="91" t="s">
        <v>93</v>
      </c>
      <c r="G21" s="91" t="n">
        <v>3</v>
      </c>
      <c r="H21" s="93" t="n">
        <v>26000</v>
      </c>
      <c r="I21" s="94" t="n">
        <v>0.1</v>
      </c>
      <c r="J21" s="93" t="n">
        <v>23400</v>
      </c>
      <c r="K21" s="93" t="n">
        <v>70200</v>
      </c>
      <c r="L21" s="91" t="s">
        <v>258</v>
      </c>
      <c r="M21" s="93" t="n">
        <v>70200</v>
      </c>
      <c r="N21" s="93" t="n">
        <v>0</v>
      </c>
    </row>
    <row r="22" customFormat="false" ht="15" hidden="false" customHeight="false" outlineLevel="0" collapsed="false">
      <c r="A22" s="4" t="s">
        <v>468</v>
      </c>
      <c r="B22" s="83" t="n">
        <v>45360</v>
      </c>
      <c r="C22" s="4" t="s">
        <v>246</v>
      </c>
      <c r="D22" s="4" t="s">
        <v>247</v>
      </c>
      <c r="E22" s="4" t="s">
        <v>30</v>
      </c>
      <c r="F22" s="4" t="s">
        <v>31</v>
      </c>
      <c r="G22" s="4" t="n">
        <v>1</v>
      </c>
      <c r="H22" s="5" t="n">
        <v>125000</v>
      </c>
      <c r="I22" s="90" t="n">
        <v>0.1</v>
      </c>
      <c r="J22" s="5" t="n">
        <v>112500</v>
      </c>
      <c r="K22" s="5" t="n">
        <v>112500</v>
      </c>
      <c r="L22" s="4" t="s">
        <v>259</v>
      </c>
      <c r="M22" s="5" t="n">
        <v>33750</v>
      </c>
      <c r="N22" s="96" t="n">
        <v>78750</v>
      </c>
    </row>
    <row r="23" customFormat="false" ht="15" hidden="false" customHeight="false" outlineLevel="0" collapsed="false">
      <c r="A23" s="91" t="s">
        <v>469</v>
      </c>
      <c r="B23" s="92" t="n">
        <v>45436</v>
      </c>
      <c r="C23" s="91" t="s">
        <v>301</v>
      </c>
      <c r="D23" s="91" t="s">
        <v>302</v>
      </c>
      <c r="E23" s="91" t="s">
        <v>44</v>
      </c>
      <c r="F23" s="91" t="s">
        <v>45</v>
      </c>
      <c r="G23" s="91" t="n">
        <v>3</v>
      </c>
      <c r="H23" s="93" t="n">
        <v>99000</v>
      </c>
      <c r="I23" s="94" t="n">
        <v>0.02</v>
      </c>
      <c r="J23" s="93" t="n">
        <v>97020</v>
      </c>
      <c r="K23" s="93" t="n">
        <v>291060</v>
      </c>
      <c r="L23" s="91" t="s">
        <v>260</v>
      </c>
      <c r="M23" s="93" t="n">
        <v>291060</v>
      </c>
      <c r="N23" s="93" t="n">
        <v>0</v>
      </c>
    </row>
    <row r="24" customFormat="false" ht="15" hidden="false" customHeight="false" outlineLevel="0" collapsed="false">
      <c r="A24" s="4" t="s">
        <v>470</v>
      </c>
      <c r="B24" s="83" t="n">
        <v>45550</v>
      </c>
      <c r="C24" s="4" t="s">
        <v>252</v>
      </c>
      <c r="D24" s="4" t="s">
        <v>253</v>
      </c>
      <c r="E24" s="4" t="s">
        <v>54</v>
      </c>
      <c r="F24" s="4" t="s">
        <v>55</v>
      </c>
      <c r="G24" s="4" t="n">
        <v>1</v>
      </c>
      <c r="H24" s="5" t="n">
        <v>88000</v>
      </c>
      <c r="I24" s="90" t="n">
        <v>0</v>
      </c>
      <c r="J24" s="5" t="n">
        <v>88000</v>
      </c>
      <c r="K24" s="5" t="n">
        <v>88000</v>
      </c>
      <c r="L24" s="4" t="s">
        <v>261</v>
      </c>
      <c r="M24" s="5" t="n">
        <v>26400</v>
      </c>
      <c r="N24" s="96" t="n">
        <v>61600</v>
      </c>
    </row>
    <row r="25" customFormat="false" ht="15" hidden="false" customHeight="false" outlineLevel="0" collapsed="false">
      <c r="A25" s="91" t="s">
        <v>471</v>
      </c>
      <c r="B25" s="92" t="n">
        <v>45314</v>
      </c>
      <c r="C25" s="91" t="s">
        <v>238</v>
      </c>
      <c r="D25" s="91" t="s">
        <v>239</v>
      </c>
      <c r="E25" s="91" t="s">
        <v>62</v>
      </c>
      <c r="F25" s="91" t="s">
        <v>63</v>
      </c>
      <c r="G25" s="91" t="n">
        <v>2</v>
      </c>
      <c r="H25" s="93" t="n">
        <v>120000</v>
      </c>
      <c r="I25" s="94" t="n">
        <v>0.1</v>
      </c>
      <c r="J25" s="93" t="n">
        <v>108000</v>
      </c>
      <c r="K25" s="93" t="n">
        <v>216000</v>
      </c>
      <c r="L25" s="91" t="s">
        <v>260</v>
      </c>
      <c r="M25" s="93" t="n">
        <v>216000</v>
      </c>
      <c r="N25" s="93" t="n">
        <v>0</v>
      </c>
    </row>
    <row r="26" customFormat="false" ht="15" hidden="false" customHeight="false" outlineLevel="0" collapsed="false">
      <c r="A26" s="4" t="s">
        <v>472</v>
      </c>
      <c r="B26" s="83" t="n">
        <v>45374</v>
      </c>
      <c r="C26" s="4" t="s">
        <v>311</v>
      </c>
      <c r="D26" s="4" t="s">
        <v>312</v>
      </c>
      <c r="E26" s="4" t="s">
        <v>78</v>
      </c>
      <c r="F26" s="4" t="s">
        <v>79</v>
      </c>
      <c r="G26" s="4" t="n">
        <v>5</v>
      </c>
      <c r="H26" s="5" t="n">
        <v>98000</v>
      </c>
      <c r="I26" s="90" t="n">
        <v>0.1</v>
      </c>
      <c r="J26" s="5" t="n">
        <v>88200</v>
      </c>
      <c r="K26" s="5" t="n">
        <v>441000</v>
      </c>
      <c r="L26" s="4" t="s">
        <v>261</v>
      </c>
      <c r="M26" s="5" t="n">
        <v>441000</v>
      </c>
      <c r="N26" s="5" t="n">
        <v>0</v>
      </c>
    </row>
    <row r="27" customFormat="false" ht="15" hidden="false" customHeight="false" outlineLevel="0" collapsed="false">
      <c r="A27" s="91" t="s">
        <v>473</v>
      </c>
      <c r="B27" s="92" t="n">
        <v>45296</v>
      </c>
      <c r="C27" s="91" t="s">
        <v>240</v>
      </c>
      <c r="D27" s="91" t="s">
        <v>241</v>
      </c>
      <c r="E27" s="91" t="s">
        <v>25</v>
      </c>
      <c r="F27" s="91" t="s">
        <v>26</v>
      </c>
      <c r="G27" s="91" t="n">
        <v>2</v>
      </c>
      <c r="H27" s="93" t="n">
        <v>45000</v>
      </c>
      <c r="I27" s="94" t="n">
        <v>0.07</v>
      </c>
      <c r="J27" s="93" t="n">
        <v>41850</v>
      </c>
      <c r="K27" s="93" t="n">
        <v>83700</v>
      </c>
      <c r="L27" s="91" t="s">
        <v>258</v>
      </c>
      <c r="M27" s="93" t="n">
        <v>83700</v>
      </c>
      <c r="N27" s="93" t="n">
        <v>0</v>
      </c>
    </row>
    <row r="28" customFormat="false" ht="15" hidden="false" customHeight="false" outlineLevel="0" collapsed="false">
      <c r="A28" s="4" t="s">
        <v>474</v>
      </c>
      <c r="B28" s="83" t="n">
        <v>45481</v>
      </c>
      <c r="C28" s="4" t="s">
        <v>301</v>
      </c>
      <c r="D28" s="4" t="s">
        <v>302</v>
      </c>
      <c r="E28" s="4" t="s">
        <v>92</v>
      </c>
      <c r="F28" s="4" t="s">
        <v>93</v>
      </c>
      <c r="G28" s="4" t="n">
        <v>2</v>
      </c>
      <c r="H28" s="5" t="n">
        <v>26000</v>
      </c>
      <c r="I28" s="90" t="n">
        <v>0.05</v>
      </c>
      <c r="J28" s="5" t="n">
        <v>24700</v>
      </c>
      <c r="K28" s="5" t="n">
        <v>49400</v>
      </c>
      <c r="L28" s="4" t="s">
        <v>259</v>
      </c>
      <c r="M28" s="5" t="n">
        <v>0</v>
      </c>
      <c r="N28" s="96" t="n">
        <v>49400</v>
      </c>
    </row>
    <row r="29" customFormat="false" ht="15" hidden="false" customHeight="false" outlineLevel="0" collapsed="false">
      <c r="A29" s="91" t="s">
        <v>475</v>
      </c>
      <c r="B29" s="92" t="n">
        <v>45449</v>
      </c>
      <c r="C29" s="91" t="s">
        <v>248</v>
      </c>
      <c r="D29" s="91" t="s">
        <v>249</v>
      </c>
      <c r="E29" s="91" t="s">
        <v>20</v>
      </c>
      <c r="F29" s="91" t="s">
        <v>21</v>
      </c>
      <c r="G29" s="91" t="n">
        <v>3</v>
      </c>
      <c r="H29" s="93" t="n">
        <v>240000</v>
      </c>
      <c r="I29" s="94" t="n">
        <v>0.02</v>
      </c>
      <c r="J29" s="93" t="n">
        <v>235200</v>
      </c>
      <c r="K29" s="93" t="n">
        <v>705600</v>
      </c>
      <c r="L29" s="91" t="s">
        <v>259</v>
      </c>
      <c r="M29" s="93" t="n">
        <v>0</v>
      </c>
      <c r="N29" s="95" t="n">
        <v>705600</v>
      </c>
    </row>
    <row r="30" customFormat="false" ht="15" hidden="false" customHeight="false" outlineLevel="0" collapsed="false">
      <c r="A30" s="4" t="s">
        <v>476</v>
      </c>
      <c r="B30" s="83" t="n">
        <v>45473</v>
      </c>
      <c r="C30" s="4" t="s">
        <v>316</v>
      </c>
      <c r="D30" s="4" t="s">
        <v>317</v>
      </c>
      <c r="E30" s="4" t="s">
        <v>92</v>
      </c>
      <c r="F30" s="4" t="s">
        <v>93</v>
      </c>
      <c r="G30" s="4" t="n">
        <v>4</v>
      </c>
      <c r="H30" s="5" t="n">
        <v>26000</v>
      </c>
      <c r="I30" s="90" t="n">
        <v>0.07</v>
      </c>
      <c r="J30" s="5" t="n">
        <v>24180</v>
      </c>
      <c r="K30" s="5" t="n">
        <v>96720</v>
      </c>
      <c r="L30" s="4" t="s">
        <v>259</v>
      </c>
      <c r="M30" s="5" t="n">
        <v>48360</v>
      </c>
      <c r="N30" s="96" t="n">
        <v>48360</v>
      </c>
    </row>
    <row r="31" customFormat="false" ht="15" hidden="false" customHeight="false" outlineLevel="0" collapsed="false">
      <c r="A31" s="91" t="s">
        <v>477</v>
      </c>
      <c r="B31" s="92" t="n">
        <v>45375</v>
      </c>
      <c r="C31" s="91" t="s">
        <v>316</v>
      </c>
      <c r="D31" s="91" t="s">
        <v>317</v>
      </c>
      <c r="E31" s="91" t="s">
        <v>39</v>
      </c>
      <c r="F31" s="91" t="s">
        <v>40</v>
      </c>
      <c r="G31" s="91" t="n">
        <v>4</v>
      </c>
      <c r="H31" s="93" t="n">
        <v>58000</v>
      </c>
      <c r="I31" s="94" t="n">
        <v>0</v>
      </c>
      <c r="J31" s="93" t="n">
        <v>58000</v>
      </c>
      <c r="K31" s="93" t="n">
        <v>232000</v>
      </c>
      <c r="L31" s="91" t="s">
        <v>259</v>
      </c>
      <c r="M31" s="93" t="n">
        <v>69600</v>
      </c>
      <c r="N31" s="95" t="n">
        <v>162400</v>
      </c>
    </row>
    <row r="32" customFormat="false" ht="15" hidden="false" customHeight="false" outlineLevel="0" collapsed="false">
      <c r="A32" s="4" t="s">
        <v>478</v>
      </c>
      <c r="B32" s="83" t="n">
        <v>45502</v>
      </c>
      <c r="C32" s="4" t="s">
        <v>316</v>
      </c>
      <c r="D32" s="4" t="s">
        <v>317</v>
      </c>
      <c r="E32" s="4" t="s">
        <v>114</v>
      </c>
      <c r="F32" s="4" t="s">
        <v>115</v>
      </c>
      <c r="G32" s="4" t="n">
        <v>2</v>
      </c>
      <c r="H32" s="5" t="n">
        <v>21000</v>
      </c>
      <c r="I32" s="90" t="n">
        <v>0.03</v>
      </c>
      <c r="J32" s="5" t="n">
        <v>20370</v>
      </c>
      <c r="K32" s="5" t="n">
        <v>40740</v>
      </c>
      <c r="L32" s="4" t="s">
        <v>259</v>
      </c>
      <c r="M32" s="5" t="n">
        <v>0</v>
      </c>
      <c r="N32" s="96" t="n">
        <v>40740</v>
      </c>
    </row>
    <row r="33" customFormat="false" ht="15" hidden="false" customHeight="false" outlineLevel="0" collapsed="false">
      <c r="A33" s="91" t="s">
        <v>479</v>
      </c>
      <c r="B33" s="92" t="n">
        <v>45487</v>
      </c>
      <c r="C33" s="91" t="s">
        <v>321</v>
      </c>
      <c r="D33" s="91" t="s">
        <v>322</v>
      </c>
      <c r="E33" s="91" t="s">
        <v>20</v>
      </c>
      <c r="F33" s="91" t="s">
        <v>21</v>
      </c>
      <c r="G33" s="91" t="n">
        <v>4</v>
      </c>
      <c r="H33" s="93" t="n">
        <v>240000</v>
      </c>
      <c r="I33" s="94" t="n">
        <v>0.02</v>
      </c>
      <c r="J33" s="93" t="n">
        <v>235200</v>
      </c>
      <c r="K33" s="93" t="n">
        <v>940800</v>
      </c>
      <c r="L33" s="91" t="s">
        <v>259</v>
      </c>
      <c r="M33" s="93" t="n">
        <v>658560</v>
      </c>
      <c r="N33" s="95" t="n">
        <v>282240</v>
      </c>
    </row>
    <row r="34" customFormat="false" ht="15" hidden="false" customHeight="false" outlineLevel="0" collapsed="false">
      <c r="A34" s="4" t="s">
        <v>480</v>
      </c>
      <c r="B34" s="83" t="n">
        <v>45471</v>
      </c>
      <c r="C34" s="4" t="s">
        <v>246</v>
      </c>
      <c r="D34" s="4" t="s">
        <v>247</v>
      </c>
      <c r="E34" s="4" t="s">
        <v>50</v>
      </c>
      <c r="F34" s="4" t="s">
        <v>51</v>
      </c>
      <c r="G34" s="4" t="n">
        <v>2</v>
      </c>
      <c r="H34" s="5" t="n">
        <v>92000</v>
      </c>
      <c r="I34" s="90" t="n">
        <v>0</v>
      </c>
      <c r="J34" s="5" t="n">
        <v>92000</v>
      </c>
      <c r="K34" s="5" t="n">
        <v>184000</v>
      </c>
      <c r="L34" s="4" t="s">
        <v>259</v>
      </c>
      <c r="M34" s="5" t="n">
        <v>128800</v>
      </c>
      <c r="N34" s="96" t="n">
        <v>55200</v>
      </c>
    </row>
    <row r="35" customFormat="false" ht="15" hidden="false" customHeight="false" outlineLevel="0" collapsed="false">
      <c r="A35" s="91" t="s">
        <v>481</v>
      </c>
      <c r="B35" s="92" t="n">
        <v>45460</v>
      </c>
      <c r="C35" s="91" t="s">
        <v>246</v>
      </c>
      <c r="D35" s="91" t="s">
        <v>247</v>
      </c>
      <c r="E35" s="91" t="s">
        <v>25</v>
      </c>
      <c r="F35" s="91" t="s">
        <v>26</v>
      </c>
      <c r="G35" s="91" t="n">
        <v>3</v>
      </c>
      <c r="H35" s="93" t="n">
        <v>45000</v>
      </c>
      <c r="I35" s="94" t="n">
        <v>0.03</v>
      </c>
      <c r="J35" s="93" t="n">
        <v>43650</v>
      </c>
      <c r="K35" s="93" t="n">
        <v>130950</v>
      </c>
      <c r="L35" s="91" t="s">
        <v>261</v>
      </c>
      <c r="M35" s="93" t="n">
        <v>130950</v>
      </c>
      <c r="N35" s="93" t="n">
        <v>0</v>
      </c>
    </row>
    <row r="36" customFormat="false" ht="15" hidden="false" customHeight="false" outlineLevel="0" collapsed="false">
      <c r="A36" s="4" t="s">
        <v>482</v>
      </c>
      <c r="B36" s="83" t="n">
        <v>45461</v>
      </c>
      <c r="C36" s="4" t="s">
        <v>238</v>
      </c>
      <c r="D36" s="4" t="s">
        <v>239</v>
      </c>
      <c r="E36" s="4" t="s">
        <v>30</v>
      </c>
      <c r="F36" s="4" t="s">
        <v>31</v>
      </c>
      <c r="G36" s="4" t="n">
        <v>3</v>
      </c>
      <c r="H36" s="5" t="n">
        <v>125000</v>
      </c>
      <c r="I36" s="90" t="n">
        <v>0.02</v>
      </c>
      <c r="J36" s="5" t="n">
        <v>122500</v>
      </c>
      <c r="K36" s="5" t="n">
        <v>367500</v>
      </c>
      <c r="L36" s="4" t="s">
        <v>260</v>
      </c>
      <c r="M36" s="5" t="n">
        <v>367500</v>
      </c>
      <c r="N36" s="5" t="n">
        <v>0</v>
      </c>
    </row>
    <row r="37" customFormat="false" ht="15" hidden="false" customHeight="false" outlineLevel="0" collapsed="false">
      <c r="A37" s="91" t="s">
        <v>483</v>
      </c>
      <c r="B37" s="92" t="n">
        <v>45311</v>
      </c>
      <c r="C37" s="91" t="s">
        <v>240</v>
      </c>
      <c r="D37" s="91" t="s">
        <v>241</v>
      </c>
      <c r="E37" s="91" t="s">
        <v>103</v>
      </c>
      <c r="F37" s="91" t="s">
        <v>104</v>
      </c>
      <c r="G37" s="91" t="n">
        <v>4</v>
      </c>
      <c r="H37" s="93" t="n">
        <v>11000</v>
      </c>
      <c r="I37" s="94" t="n">
        <v>0.03</v>
      </c>
      <c r="J37" s="93" t="n">
        <v>10670</v>
      </c>
      <c r="K37" s="93" t="n">
        <v>42680</v>
      </c>
      <c r="L37" s="91" t="s">
        <v>260</v>
      </c>
      <c r="M37" s="93" t="n">
        <v>42680</v>
      </c>
      <c r="N37" s="93" t="n">
        <v>0</v>
      </c>
    </row>
    <row r="38" customFormat="false" ht="15" hidden="false" customHeight="false" outlineLevel="0" collapsed="false">
      <c r="A38" s="4" t="s">
        <v>484</v>
      </c>
      <c r="B38" s="83" t="n">
        <v>45515</v>
      </c>
      <c r="C38" s="4" t="s">
        <v>301</v>
      </c>
      <c r="D38" s="4" t="s">
        <v>302</v>
      </c>
      <c r="E38" s="4" t="s">
        <v>88</v>
      </c>
      <c r="F38" s="4" t="s">
        <v>89</v>
      </c>
      <c r="G38" s="4" t="n">
        <v>1</v>
      </c>
      <c r="H38" s="5" t="n">
        <v>45000</v>
      </c>
      <c r="I38" s="90" t="n">
        <v>0.05</v>
      </c>
      <c r="J38" s="5" t="n">
        <v>42750</v>
      </c>
      <c r="K38" s="5" t="n">
        <v>42750</v>
      </c>
      <c r="L38" s="4" t="s">
        <v>259</v>
      </c>
      <c r="M38" s="5" t="n">
        <v>12825</v>
      </c>
      <c r="N38" s="96" t="n">
        <v>29925</v>
      </c>
    </row>
    <row r="39" customFormat="false" ht="15" hidden="false" customHeight="false" outlineLevel="0" collapsed="false">
      <c r="A39" s="91" t="s">
        <v>485</v>
      </c>
      <c r="B39" s="92" t="n">
        <v>45314</v>
      </c>
      <c r="C39" s="91" t="s">
        <v>311</v>
      </c>
      <c r="D39" s="91" t="s">
        <v>312</v>
      </c>
      <c r="E39" s="91" t="s">
        <v>73</v>
      </c>
      <c r="F39" s="91" t="s">
        <v>74</v>
      </c>
      <c r="G39" s="91" t="n">
        <v>1</v>
      </c>
      <c r="H39" s="93" t="n">
        <v>85000</v>
      </c>
      <c r="I39" s="94" t="n">
        <v>0.07</v>
      </c>
      <c r="J39" s="93" t="n">
        <v>79050</v>
      </c>
      <c r="K39" s="93" t="n">
        <v>79050</v>
      </c>
      <c r="L39" s="91" t="s">
        <v>259</v>
      </c>
      <c r="M39" s="93" t="n">
        <v>23715</v>
      </c>
      <c r="N39" s="95" t="n">
        <v>55335</v>
      </c>
    </row>
    <row r="40" customFormat="false" ht="15" hidden="false" customHeight="false" outlineLevel="0" collapsed="false">
      <c r="A40" s="4" t="s">
        <v>486</v>
      </c>
      <c r="B40" s="83" t="n">
        <v>45512</v>
      </c>
      <c r="C40" s="4" t="s">
        <v>240</v>
      </c>
      <c r="D40" s="4" t="s">
        <v>241</v>
      </c>
      <c r="E40" s="4" t="s">
        <v>114</v>
      </c>
      <c r="F40" s="4" t="s">
        <v>115</v>
      </c>
      <c r="G40" s="4" t="n">
        <v>3</v>
      </c>
      <c r="H40" s="5" t="n">
        <v>21000</v>
      </c>
      <c r="I40" s="90" t="n">
        <v>0.07</v>
      </c>
      <c r="J40" s="5" t="n">
        <v>19530</v>
      </c>
      <c r="K40" s="5" t="n">
        <v>58590</v>
      </c>
      <c r="L40" s="4" t="s">
        <v>260</v>
      </c>
      <c r="M40" s="5" t="n">
        <v>58590</v>
      </c>
      <c r="N40" s="5" t="n">
        <v>0</v>
      </c>
    </row>
    <row r="41" customFormat="false" ht="15" hidden="false" customHeight="false" outlineLevel="0" collapsed="false">
      <c r="A41" s="91" t="s">
        <v>487</v>
      </c>
      <c r="B41" s="92" t="n">
        <v>45631</v>
      </c>
      <c r="C41" s="91" t="s">
        <v>321</v>
      </c>
      <c r="D41" s="91" t="s">
        <v>322</v>
      </c>
      <c r="E41" s="91" t="s">
        <v>30</v>
      </c>
      <c r="F41" s="91" t="s">
        <v>31</v>
      </c>
      <c r="G41" s="91" t="n">
        <v>3</v>
      </c>
      <c r="H41" s="93" t="n">
        <v>125000</v>
      </c>
      <c r="I41" s="94" t="n">
        <v>0.07</v>
      </c>
      <c r="J41" s="93" t="n">
        <v>116250</v>
      </c>
      <c r="K41" s="93" t="n">
        <v>348750</v>
      </c>
      <c r="L41" s="91" t="s">
        <v>260</v>
      </c>
      <c r="M41" s="93" t="n">
        <v>348750</v>
      </c>
      <c r="N41" s="93" t="n">
        <v>0</v>
      </c>
    </row>
    <row r="42" customFormat="false" ht="15" hidden="false" customHeight="false" outlineLevel="0" collapsed="false">
      <c r="A42" s="4" t="s">
        <v>488</v>
      </c>
      <c r="B42" s="83" t="n">
        <v>45633</v>
      </c>
      <c r="C42" s="4" t="s">
        <v>250</v>
      </c>
      <c r="D42" s="4" t="s">
        <v>251</v>
      </c>
      <c r="E42" s="4" t="s">
        <v>62</v>
      </c>
      <c r="F42" s="4" t="s">
        <v>63</v>
      </c>
      <c r="G42" s="4" t="n">
        <v>4</v>
      </c>
      <c r="H42" s="5" t="n">
        <v>120000</v>
      </c>
      <c r="I42" s="90" t="n">
        <v>0.1</v>
      </c>
      <c r="J42" s="5" t="n">
        <v>108000</v>
      </c>
      <c r="K42" s="5" t="n">
        <v>432000</v>
      </c>
      <c r="L42" s="4" t="s">
        <v>260</v>
      </c>
      <c r="M42" s="5" t="n">
        <v>432000</v>
      </c>
      <c r="N42" s="5" t="n">
        <v>0</v>
      </c>
    </row>
    <row r="43" customFormat="false" ht="15" hidden="false" customHeight="false" outlineLevel="0" collapsed="false">
      <c r="A43" s="91" t="s">
        <v>489</v>
      </c>
      <c r="B43" s="92" t="n">
        <v>45575</v>
      </c>
      <c r="C43" s="91" t="s">
        <v>242</v>
      </c>
      <c r="D43" s="91" t="s">
        <v>243</v>
      </c>
      <c r="E43" s="91" t="s">
        <v>44</v>
      </c>
      <c r="F43" s="91" t="s">
        <v>45</v>
      </c>
      <c r="G43" s="91" t="n">
        <v>4</v>
      </c>
      <c r="H43" s="93" t="n">
        <v>99000</v>
      </c>
      <c r="I43" s="94" t="n">
        <v>0.1</v>
      </c>
      <c r="J43" s="93" t="n">
        <v>89100</v>
      </c>
      <c r="K43" s="93" t="n">
        <v>356400</v>
      </c>
      <c r="L43" s="91" t="s">
        <v>261</v>
      </c>
      <c r="M43" s="93" t="n">
        <v>178200</v>
      </c>
      <c r="N43" s="95" t="n">
        <v>178200</v>
      </c>
    </row>
    <row r="44" customFormat="false" ht="15" hidden="false" customHeight="false" outlineLevel="0" collapsed="false">
      <c r="A44" s="4" t="s">
        <v>490</v>
      </c>
      <c r="B44" s="83" t="n">
        <v>45607</v>
      </c>
      <c r="C44" s="4" t="s">
        <v>301</v>
      </c>
      <c r="D44" s="4" t="s">
        <v>302</v>
      </c>
      <c r="E44" s="4" t="s">
        <v>59</v>
      </c>
      <c r="F44" s="4" t="s">
        <v>60</v>
      </c>
      <c r="G44" s="4" t="n">
        <v>4</v>
      </c>
      <c r="H44" s="5" t="n">
        <v>225000</v>
      </c>
      <c r="I44" s="90" t="n">
        <v>0.07</v>
      </c>
      <c r="J44" s="5" t="n">
        <v>209250</v>
      </c>
      <c r="K44" s="5" t="n">
        <v>837000</v>
      </c>
      <c r="L44" s="4" t="s">
        <v>258</v>
      </c>
      <c r="M44" s="5" t="n">
        <v>837000</v>
      </c>
      <c r="N44" s="5" t="n">
        <v>0</v>
      </c>
    </row>
    <row r="45" customFormat="false" ht="15" hidden="false" customHeight="false" outlineLevel="0" collapsed="false">
      <c r="A45" s="91" t="s">
        <v>491</v>
      </c>
      <c r="B45" s="92" t="n">
        <v>45447</v>
      </c>
      <c r="C45" s="91" t="s">
        <v>246</v>
      </c>
      <c r="D45" s="91" t="s">
        <v>247</v>
      </c>
      <c r="E45" s="91" t="s">
        <v>44</v>
      </c>
      <c r="F45" s="91" t="s">
        <v>45</v>
      </c>
      <c r="G45" s="91" t="n">
        <v>4</v>
      </c>
      <c r="H45" s="93" t="n">
        <v>99000</v>
      </c>
      <c r="I45" s="94" t="n">
        <v>0.07</v>
      </c>
      <c r="J45" s="93" t="n">
        <v>92070</v>
      </c>
      <c r="K45" s="93" t="n">
        <v>368280</v>
      </c>
      <c r="L45" s="91" t="s">
        <v>260</v>
      </c>
      <c r="M45" s="93" t="n">
        <v>368280</v>
      </c>
      <c r="N45" s="93" t="n">
        <v>0</v>
      </c>
    </row>
    <row r="46" customFormat="false" ht="15" hidden="false" customHeight="false" outlineLevel="0" collapsed="false">
      <c r="A46" s="4" t="s">
        <v>492</v>
      </c>
      <c r="B46" s="83" t="n">
        <v>45530</v>
      </c>
      <c r="C46" s="4" t="s">
        <v>252</v>
      </c>
      <c r="D46" s="4" t="s">
        <v>253</v>
      </c>
      <c r="E46" s="4" t="s">
        <v>78</v>
      </c>
      <c r="F46" s="4" t="s">
        <v>79</v>
      </c>
      <c r="G46" s="4" t="n">
        <v>2</v>
      </c>
      <c r="H46" s="5" t="n">
        <v>98000</v>
      </c>
      <c r="I46" s="90" t="n">
        <v>0.07</v>
      </c>
      <c r="J46" s="5" t="n">
        <v>91140</v>
      </c>
      <c r="K46" s="5" t="n">
        <v>182280</v>
      </c>
      <c r="L46" s="4" t="s">
        <v>261</v>
      </c>
      <c r="M46" s="5" t="n">
        <v>91140</v>
      </c>
      <c r="N46" s="96" t="n">
        <v>91140</v>
      </c>
    </row>
    <row r="47" customFormat="false" ht="15" hidden="false" customHeight="false" outlineLevel="0" collapsed="false">
      <c r="A47" s="91" t="s">
        <v>493</v>
      </c>
      <c r="B47" s="92" t="n">
        <v>45629</v>
      </c>
      <c r="C47" s="91" t="s">
        <v>240</v>
      </c>
      <c r="D47" s="91" t="s">
        <v>241</v>
      </c>
      <c r="E47" s="91" t="s">
        <v>59</v>
      </c>
      <c r="F47" s="91" t="s">
        <v>60</v>
      </c>
      <c r="G47" s="91" t="n">
        <v>5</v>
      </c>
      <c r="H47" s="93" t="n">
        <v>225000</v>
      </c>
      <c r="I47" s="94" t="n">
        <v>0.1</v>
      </c>
      <c r="J47" s="93" t="n">
        <v>202500</v>
      </c>
      <c r="K47" s="93" t="n">
        <v>1012500</v>
      </c>
      <c r="L47" s="91" t="s">
        <v>260</v>
      </c>
      <c r="M47" s="93" t="n">
        <v>1012500</v>
      </c>
      <c r="N47" s="93" t="n">
        <v>0</v>
      </c>
    </row>
    <row r="48" customFormat="false" ht="15" hidden="false" customHeight="false" outlineLevel="0" collapsed="false">
      <c r="A48" s="4" t="s">
        <v>494</v>
      </c>
      <c r="B48" s="83" t="n">
        <v>45339</v>
      </c>
      <c r="C48" s="4" t="s">
        <v>321</v>
      </c>
      <c r="D48" s="4" t="s">
        <v>322</v>
      </c>
      <c r="E48" s="4" t="s">
        <v>126</v>
      </c>
      <c r="F48" s="4" t="s">
        <v>127</v>
      </c>
      <c r="G48" s="4" t="n">
        <v>2</v>
      </c>
      <c r="H48" s="5" t="n">
        <v>160000</v>
      </c>
      <c r="I48" s="90" t="n">
        <v>0.1</v>
      </c>
      <c r="J48" s="5" t="n">
        <v>144000</v>
      </c>
      <c r="K48" s="5" t="n">
        <v>288000</v>
      </c>
      <c r="L48" s="4" t="s">
        <v>260</v>
      </c>
      <c r="M48" s="5" t="n">
        <v>288000</v>
      </c>
      <c r="N48" s="5" t="n">
        <v>0</v>
      </c>
    </row>
    <row r="49" customFormat="false" ht="15" hidden="false" customHeight="false" outlineLevel="0" collapsed="false">
      <c r="A49" s="91" t="s">
        <v>495</v>
      </c>
      <c r="B49" s="92" t="n">
        <v>45407</v>
      </c>
      <c r="C49" s="91" t="s">
        <v>316</v>
      </c>
      <c r="D49" s="91" t="s">
        <v>317</v>
      </c>
      <c r="E49" s="91" t="s">
        <v>44</v>
      </c>
      <c r="F49" s="91" t="s">
        <v>45</v>
      </c>
      <c r="G49" s="91" t="n">
        <v>2</v>
      </c>
      <c r="H49" s="93" t="n">
        <v>99000</v>
      </c>
      <c r="I49" s="94" t="n">
        <v>0</v>
      </c>
      <c r="J49" s="93" t="n">
        <v>99000</v>
      </c>
      <c r="K49" s="93" t="n">
        <v>198000</v>
      </c>
      <c r="L49" s="91" t="s">
        <v>258</v>
      </c>
      <c r="M49" s="93" t="n">
        <v>198000</v>
      </c>
      <c r="N49" s="93" t="n">
        <v>0</v>
      </c>
    </row>
    <row r="50" customFormat="false" ht="15" hidden="false" customHeight="false" outlineLevel="0" collapsed="false">
      <c r="A50" s="4" t="s">
        <v>496</v>
      </c>
      <c r="B50" s="83" t="n">
        <v>45417</v>
      </c>
      <c r="C50" s="4" t="s">
        <v>252</v>
      </c>
      <c r="D50" s="4" t="s">
        <v>253</v>
      </c>
      <c r="E50" s="4" t="s">
        <v>103</v>
      </c>
      <c r="F50" s="4" t="s">
        <v>104</v>
      </c>
      <c r="G50" s="4" t="n">
        <v>1</v>
      </c>
      <c r="H50" s="5" t="n">
        <v>11000</v>
      </c>
      <c r="I50" s="90" t="n">
        <v>0.05</v>
      </c>
      <c r="J50" s="5" t="n">
        <v>10450</v>
      </c>
      <c r="K50" s="5" t="n">
        <v>10450</v>
      </c>
      <c r="L50" s="4" t="s">
        <v>261</v>
      </c>
      <c r="M50" s="5" t="n">
        <v>10450</v>
      </c>
      <c r="N50" s="5" t="n">
        <v>0</v>
      </c>
    </row>
    <row r="51" customFormat="false" ht="15" hidden="false" customHeight="false" outlineLevel="0" collapsed="false">
      <c r="A51" s="91" t="s">
        <v>497</v>
      </c>
      <c r="B51" s="92" t="n">
        <v>45391</v>
      </c>
      <c r="C51" s="91" t="s">
        <v>311</v>
      </c>
      <c r="D51" s="91" t="s">
        <v>312</v>
      </c>
      <c r="E51" s="91" t="s">
        <v>117</v>
      </c>
      <c r="F51" s="91" t="s">
        <v>118</v>
      </c>
      <c r="G51" s="91" t="n">
        <v>4</v>
      </c>
      <c r="H51" s="93" t="n">
        <v>25000</v>
      </c>
      <c r="I51" s="94" t="n">
        <v>0.05</v>
      </c>
      <c r="J51" s="93" t="n">
        <v>23750</v>
      </c>
      <c r="K51" s="93" t="n">
        <v>95000</v>
      </c>
      <c r="L51" s="91" t="s">
        <v>261</v>
      </c>
      <c r="M51" s="93" t="n">
        <v>47500</v>
      </c>
      <c r="N51" s="95" t="n">
        <v>47500</v>
      </c>
    </row>
    <row r="52" customFormat="false" ht="15" hidden="false" customHeight="false" outlineLevel="0" collapsed="false">
      <c r="A52" s="4" t="s">
        <v>498</v>
      </c>
      <c r="B52" s="83" t="n">
        <v>45367</v>
      </c>
      <c r="C52" s="4" t="s">
        <v>306</v>
      </c>
      <c r="D52" s="4" t="s">
        <v>307</v>
      </c>
      <c r="E52" s="4" t="s">
        <v>117</v>
      </c>
      <c r="F52" s="4" t="s">
        <v>118</v>
      </c>
      <c r="G52" s="4" t="n">
        <v>1</v>
      </c>
      <c r="H52" s="5" t="n">
        <v>25000</v>
      </c>
      <c r="I52" s="90" t="n">
        <v>0</v>
      </c>
      <c r="J52" s="5" t="n">
        <v>25000</v>
      </c>
      <c r="K52" s="5" t="n">
        <v>25000</v>
      </c>
      <c r="L52" s="4" t="s">
        <v>261</v>
      </c>
      <c r="M52" s="5" t="n">
        <v>12500</v>
      </c>
      <c r="N52" s="96" t="n">
        <v>12500</v>
      </c>
    </row>
    <row r="53" customFormat="false" ht="15" hidden="false" customHeight="false" outlineLevel="0" collapsed="false">
      <c r="A53" s="91" t="s">
        <v>499</v>
      </c>
      <c r="B53" s="92" t="n">
        <v>45382</v>
      </c>
      <c r="C53" s="91" t="s">
        <v>316</v>
      </c>
      <c r="D53" s="91" t="s">
        <v>317</v>
      </c>
      <c r="E53" s="91" t="s">
        <v>117</v>
      </c>
      <c r="F53" s="91" t="s">
        <v>118</v>
      </c>
      <c r="G53" s="91" t="n">
        <v>5</v>
      </c>
      <c r="H53" s="93" t="n">
        <v>25000</v>
      </c>
      <c r="I53" s="94" t="n">
        <v>0.05</v>
      </c>
      <c r="J53" s="93" t="n">
        <v>23750</v>
      </c>
      <c r="K53" s="93" t="n">
        <v>118750</v>
      </c>
      <c r="L53" s="91" t="s">
        <v>258</v>
      </c>
      <c r="M53" s="93" t="n">
        <v>118750</v>
      </c>
      <c r="N53" s="93" t="n">
        <v>0</v>
      </c>
    </row>
    <row r="54" customFormat="false" ht="15" hidden="false" customHeight="false" outlineLevel="0" collapsed="false">
      <c r="A54" s="97" t="s">
        <v>500</v>
      </c>
      <c r="B54" s="97"/>
      <c r="C54" s="97"/>
      <c r="D54" s="97"/>
      <c r="E54" s="97"/>
      <c r="F54" s="97"/>
      <c r="G54" s="97"/>
      <c r="H54" s="97"/>
      <c r="I54" s="97"/>
      <c r="J54" s="97"/>
      <c r="K54" s="98" t="n">
        <f aca="false">SUM(K4:K53)</f>
        <v>13689270</v>
      </c>
      <c r="M54" s="98" t="n">
        <f aca="false">SUM(M4:M53)</f>
        <v>9805079</v>
      </c>
      <c r="N54" s="98" t="n">
        <f aca="false">SUM(N4:N53)</f>
        <v>3884191</v>
      </c>
    </row>
  </sheetData>
  <mergeCells count="3">
    <mergeCell ref="A1:N1"/>
    <mergeCell ref="A2:N2"/>
    <mergeCell ref="A54:J54"/>
  </mergeCells>
  <dataValidations count="1">
    <dataValidation allowBlank="false" errorStyle="stop" operator="between" showDropDown="false" showErrorMessage="false" showInputMessage="false" sqref="L4:L200" type="list">
      <formula1>"Cash,Credit,Bank Transfer,Installment"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5"/>
    <col collapsed="false" customWidth="true" hidden="false" outlineLevel="0" max="3" min="3" style="0" width="18"/>
    <col collapsed="false" customWidth="true" hidden="false" outlineLevel="0" max="5" min="4" style="0" width="13"/>
    <col collapsed="false" customWidth="true" hidden="false" outlineLevel="0" max="6" min="6" style="0" width="10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18"/>
    <col collapsed="false" customWidth="true" hidden="false" outlineLevel="0" max="10" min="10" style="0" width="12"/>
    <col collapsed="false" customWidth="true" hidden="false" outlineLevel="0" max="12" min="11" style="0" width="16"/>
  </cols>
  <sheetData>
    <row r="1" customFormat="false" ht="30" hidden="false" customHeight="true" outlineLevel="0" collapsed="false">
      <c r="A1" s="1" t="s">
        <v>501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1.75" hidden="false" customHeight="true" outlineLevel="0" collapsed="false">
      <c r="A2" s="2" t="s">
        <v>502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12" t="s">
        <v>2</v>
      </c>
      <c r="B3" s="12" t="s">
        <v>3</v>
      </c>
      <c r="C3" s="12" t="s">
        <v>4</v>
      </c>
      <c r="D3" s="12" t="s">
        <v>503</v>
      </c>
      <c r="E3" s="12" t="s">
        <v>504</v>
      </c>
      <c r="F3" s="12" t="s">
        <v>505</v>
      </c>
      <c r="G3" s="12" t="s">
        <v>506</v>
      </c>
      <c r="H3" s="12" t="s">
        <v>9</v>
      </c>
      <c r="I3" s="12" t="s">
        <v>12</v>
      </c>
      <c r="J3" s="12" t="s">
        <v>7</v>
      </c>
      <c r="K3" s="12" t="s">
        <v>507</v>
      </c>
      <c r="L3" s="12" t="s">
        <v>508</v>
      </c>
    </row>
    <row r="4" customFormat="false" ht="15" hidden="false" customHeight="false" outlineLevel="0" collapsed="false">
      <c r="A4" s="4" t="s">
        <v>13</v>
      </c>
      <c r="B4" s="43" t="s">
        <v>14</v>
      </c>
      <c r="C4" s="4" t="s">
        <v>15</v>
      </c>
      <c r="D4" s="99" t="n">
        <v>22</v>
      </c>
      <c r="E4" s="100" t="n">
        <f aca="false">SUMIF(Purchases!E:E,Inventory!A4,Purchases!G:G)</f>
        <v>23</v>
      </c>
      <c r="F4" s="100" t="n">
        <f aca="false">SUMIF(Sales!E:E,Inventory!A4,Sales!G:G)</f>
        <v>0</v>
      </c>
      <c r="G4" s="100" t="n">
        <f aca="false">D4+E4-F4</f>
        <v>45</v>
      </c>
      <c r="H4" s="99" t="n">
        <v>5</v>
      </c>
      <c r="I4" s="101" t="str">
        <f aca="false">IF(G4&lt;=0,"⛔ Out of Stock",IF(G4&lt;=H4,"⚠️ Low Stock","✅ In Stock"))</f>
        <v>✅ In Stock</v>
      </c>
      <c r="J4" s="102" t="n">
        <v>85000</v>
      </c>
      <c r="K4" s="103" t="n">
        <f aca="false">G4*J4</f>
        <v>3825000</v>
      </c>
      <c r="L4" s="104" t="str">
        <f aca="false">IF(G4&lt;=H4,"🔴 REORDER NOW","")</f>
        <v/>
      </c>
    </row>
    <row r="5" customFormat="false" ht="15" hidden="false" customHeight="false" outlineLevel="0" collapsed="false">
      <c r="A5" s="105" t="s">
        <v>20</v>
      </c>
      <c r="B5" s="106" t="s">
        <v>21</v>
      </c>
      <c r="C5" s="105" t="s">
        <v>15</v>
      </c>
      <c r="D5" s="107" t="n">
        <v>12</v>
      </c>
      <c r="E5" s="108" t="n">
        <f aca="false">SUMIF(Purchases!E:E,Inventory!A5,Purchases!G:G)</f>
        <v>18</v>
      </c>
      <c r="F5" s="108" t="n">
        <f aca="false">SUMIF(Sales!E:E,Inventory!A5,Sales!G:G)</f>
        <v>12</v>
      </c>
      <c r="G5" s="108" t="n">
        <f aca="false">D5+E5-F5</f>
        <v>18</v>
      </c>
      <c r="H5" s="107" t="n">
        <v>3</v>
      </c>
      <c r="I5" s="109" t="str">
        <f aca="false">IF(G5&lt;=0,"⛔ Out of Stock",IF(G5&lt;=H5,"⚠️ Low Stock","✅ In Stock"))</f>
        <v>✅ In Stock</v>
      </c>
      <c r="J5" s="110" t="n">
        <v>195000</v>
      </c>
      <c r="K5" s="111" t="n">
        <f aca="false">G5*J5</f>
        <v>3510000</v>
      </c>
      <c r="L5" s="112" t="str">
        <f aca="false">IF(G5&lt;=H5,"🔴 REORDER NOW","")</f>
        <v/>
      </c>
    </row>
    <row r="6" customFormat="false" ht="15" hidden="false" customHeight="false" outlineLevel="0" collapsed="false">
      <c r="A6" s="4" t="s">
        <v>25</v>
      </c>
      <c r="B6" s="43" t="s">
        <v>26</v>
      </c>
      <c r="C6" s="4" t="s">
        <v>15</v>
      </c>
      <c r="D6" s="99" t="n">
        <v>8</v>
      </c>
      <c r="E6" s="100" t="n">
        <f aca="false">SUMIF(Purchases!E:E,Inventory!A6,Purchases!G:G)</f>
        <v>7</v>
      </c>
      <c r="F6" s="100" t="n">
        <f aca="false">SUMIF(Sales!E:E,Inventory!A6,Sales!G:G)</f>
        <v>5</v>
      </c>
      <c r="G6" s="100" t="n">
        <f aca="false">D6+E6-F6</f>
        <v>10</v>
      </c>
      <c r="H6" s="99" t="n">
        <v>10</v>
      </c>
      <c r="I6" s="101" t="str">
        <f aca="false">IF(G6&lt;=0,"⛔ Out of Stock",IF(G6&lt;=H6,"⚠️ Low Stock","✅ In Stock"))</f>
        <v>⚠️ Low Stock</v>
      </c>
      <c r="J6" s="102" t="n">
        <v>35000</v>
      </c>
      <c r="K6" s="103" t="n">
        <f aca="false">G6*J6</f>
        <v>350000</v>
      </c>
      <c r="L6" s="104" t="str">
        <f aca="false">IF(G6&lt;=H6,"🔴 REORDER NOW","")</f>
        <v>🔴 REORDER NOW</v>
      </c>
    </row>
    <row r="7" customFormat="false" ht="15" hidden="false" customHeight="false" outlineLevel="0" collapsed="false">
      <c r="A7" s="105" t="s">
        <v>30</v>
      </c>
      <c r="B7" s="106" t="s">
        <v>31</v>
      </c>
      <c r="C7" s="105" t="s">
        <v>32</v>
      </c>
      <c r="D7" s="107" t="n">
        <v>19</v>
      </c>
      <c r="E7" s="108" t="n">
        <f aca="false">SUMIF(Purchases!E:E,Inventory!A7,Purchases!G:G)</f>
        <v>32</v>
      </c>
      <c r="F7" s="108" t="n">
        <f aca="false">SUMIF(Sales!E:E,Inventory!A7,Sales!G:G)</f>
        <v>9</v>
      </c>
      <c r="G7" s="108" t="n">
        <f aca="false">D7+E7-F7</f>
        <v>42</v>
      </c>
      <c r="H7" s="107" t="n">
        <v>3</v>
      </c>
      <c r="I7" s="109" t="str">
        <f aca="false">IF(G7&lt;=0,"⛔ Out of Stock",IF(G7&lt;=H7,"⚠️ Low Stock","✅ In Stock"))</f>
        <v>✅ In Stock</v>
      </c>
      <c r="J7" s="110" t="n">
        <v>95000</v>
      </c>
      <c r="K7" s="111" t="n">
        <f aca="false">G7*J7</f>
        <v>3990000</v>
      </c>
      <c r="L7" s="112" t="str">
        <f aca="false">IF(G7&lt;=H7,"🔴 REORDER NOW","")</f>
        <v/>
      </c>
    </row>
    <row r="8" customFormat="false" ht="15" hidden="false" customHeight="false" outlineLevel="0" collapsed="false">
      <c r="A8" s="4" t="s">
        <v>34</v>
      </c>
      <c r="B8" s="43" t="s">
        <v>35</v>
      </c>
      <c r="C8" s="4" t="s">
        <v>32</v>
      </c>
      <c r="D8" s="99" t="n">
        <v>9</v>
      </c>
      <c r="E8" s="100" t="n">
        <f aca="false">SUMIF(Purchases!E:E,Inventory!A8,Purchases!G:G)</f>
        <v>4</v>
      </c>
      <c r="F8" s="100" t="n">
        <f aca="false">SUMIF(Sales!E:E,Inventory!A8,Sales!G:G)</f>
        <v>0</v>
      </c>
      <c r="G8" s="100" t="n">
        <f aca="false">D8+E8-F8</f>
        <v>13</v>
      </c>
      <c r="H8" s="99" t="n">
        <v>3</v>
      </c>
      <c r="I8" s="101" t="str">
        <f aca="false">IF(G8&lt;=0,"⛔ Out of Stock",IF(G8&lt;=H8,"⚠️ Low Stock","✅ In Stock"))</f>
        <v>✅ In Stock</v>
      </c>
      <c r="J8" s="102" t="n">
        <v>85000</v>
      </c>
      <c r="K8" s="103" t="n">
        <f aca="false">G8*J8</f>
        <v>1105000</v>
      </c>
      <c r="L8" s="104" t="str">
        <f aca="false">IF(G8&lt;=H8,"🔴 REORDER NOW","")</f>
        <v/>
      </c>
    </row>
    <row r="9" customFormat="false" ht="15" hidden="false" customHeight="false" outlineLevel="0" collapsed="false">
      <c r="A9" s="105" t="s">
        <v>39</v>
      </c>
      <c r="B9" s="106" t="s">
        <v>40</v>
      </c>
      <c r="C9" s="105" t="s">
        <v>32</v>
      </c>
      <c r="D9" s="107" t="n">
        <v>19</v>
      </c>
      <c r="E9" s="108" t="n">
        <f aca="false">SUMIF(Purchases!E:E,Inventory!A9,Purchases!G:G)</f>
        <v>0</v>
      </c>
      <c r="F9" s="108" t="n">
        <f aca="false">SUMIF(Sales!E:E,Inventory!A9,Sales!G:G)</f>
        <v>5</v>
      </c>
      <c r="G9" s="108" t="n">
        <f aca="false">D9+E9-F9</f>
        <v>14</v>
      </c>
      <c r="H9" s="107" t="n">
        <v>5</v>
      </c>
      <c r="I9" s="109" t="str">
        <f aca="false">IF(G9&lt;=0,"⛔ Out of Stock",IF(G9&lt;=H9,"⚠️ Low Stock","✅ In Stock"))</f>
        <v>✅ In Stock</v>
      </c>
      <c r="J9" s="110" t="n">
        <v>42000</v>
      </c>
      <c r="K9" s="111" t="n">
        <f aca="false">G9*J9</f>
        <v>588000</v>
      </c>
      <c r="L9" s="112" t="str">
        <f aca="false">IF(G9&lt;=H9,"🔴 REORDER NOW","")</f>
        <v/>
      </c>
    </row>
    <row r="10" customFormat="false" ht="15" hidden="false" customHeight="false" outlineLevel="0" collapsed="false">
      <c r="A10" s="4" t="s">
        <v>44</v>
      </c>
      <c r="B10" s="43" t="s">
        <v>45</v>
      </c>
      <c r="C10" s="4" t="s">
        <v>46</v>
      </c>
      <c r="D10" s="99" t="n">
        <v>21</v>
      </c>
      <c r="E10" s="100" t="n">
        <f aca="false">SUMIF(Purchases!E:E,Inventory!A10,Purchases!G:G)</f>
        <v>0</v>
      </c>
      <c r="F10" s="100" t="n">
        <f aca="false">SUMIF(Sales!E:E,Inventory!A10,Sales!G:G)</f>
        <v>19</v>
      </c>
      <c r="G10" s="100" t="n">
        <f aca="false">D10+E10-F10</f>
        <v>2</v>
      </c>
      <c r="H10" s="99" t="n">
        <v>4</v>
      </c>
      <c r="I10" s="101" t="str">
        <f aca="false">IF(G10&lt;=0,"⛔ Out of Stock",IF(G10&lt;=H10,"⚠️ Low Stock","✅ In Stock"))</f>
        <v>⚠️ Low Stock</v>
      </c>
      <c r="J10" s="102" t="n">
        <v>78000</v>
      </c>
      <c r="K10" s="103" t="n">
        <f aca="false">G10*J10</f>
        <v>156000</v>
      </c>
      <c r="L10" s="104" t="str">
        <f aca="false">IF(G10&lt;=H10,"🔴 REORDER NOW","")</f>
        <v>🔴 REORDER NOW</v>
      </c>
    </row>
    <row r="11" customFormat="false" ht="15" hidden="false" customHeight="false" outlineLevel="0" collapsed="false">
      <c r="A11" s="105" t="s">
        <v>50</v>
      </c>
      <c r="B11" s="106" t="s">
        <v>51</v>
      </c>
      <c r="C11" s="105" t="s">
        <v>46</v>
      </c>
      <c r="D11" s="107" t="n">
        <v>22</v>
      </c>
      <c r="E11" s="108" t="n">
        <f aca="false">SUMIF(Purchases!E:E,Inventory!A11,Purchases!G:G)</f>
        <v>28</v>
      </c>
      <c r="F11" s="108" t="n">
        <f aca="false">SUMIF(Sales!E:E,Inventory!A11,Sales!G:G)</f>
        <v>9</v>
      </c>
      <c r="G11" s="108" t="n">
        <f aca="false">D11+E11-F11</f>
        <v>41</v>
      </c>
      <c r="H11" s="107" t="n">
        <v>4</v>
      </c>
      <c r="I11" s="109" t="str">
        <f aca="false">IF(G11&lt;=0,"⛔ Out of Stock",IF(G11&lt;=H11,"⚠️ Low Stock","✅ In Stock"))</f>
        <v>✅ In Stock</v>
      </c>
      <c r="J11" s="110" t="n">
        <v>72000</v>
      </c>
      <c r="K11" s="111" t="n">
        <f aca="false">G11*J11</f>
        <v>2952000</v>
      </c>
      <c r="L11" s="112" t="str">
        <f aca="false">IF(G11&lt;=H11,"🔴 REORDER NOW","")</f>
        <v/>
      </c>
    </row>
    <row r="12" customFormat="false" ht="15" hidden="false" customHeight="false" outlineLevel="0" collapsed="false">
      <c r="A12" s="4" t="s">
        <v>54</v>
      </c>
      <c r="B12" s="43" t="s">
        <v>55</v>
      </c>
      <c r="C12" s="4" t="s">
        <v>46</v>
      </c>
      <c r="D12" s="99" t="n">
        <v>24</v>
      </c>
      <c r="E12" s="100" t="n">
        <f aca="false">SUMIF(Purchases!E:E,Inventory!A12,Purchases!G:G)</f>
        <v>25</v>
      </c>
      <c r="F12" s="100" t="n">
        <f aca="false">SUMIF(Sales!E:E,Inventory!A12,Sales!G:G)</f>
        <v>1</v>
      </c>
      <c r="G12" s="100" t="n">
        <f aca="false">D12+E12-F12</f>
        <v>48</v>
      </c>
      <c r="H12" s="99" t="n">
        <v>5</v>
      </c>
      <c r="I12" s="101" t="str">
        <f aca="false">IF(G12&lt;=0,"⛔ Out of Stock",IF(G12&lt;=H12,"⚠️ Low Stock","✅ In Stock"))</f>
        <v>✅ In Stock</v>
      </c>
      <c r="J12" s="102" t="n">
        <v>68000</v>
      </c>
      <c r="K12" s="103" t="n">
        <f aca="false">G12*J12</f>
        <v>3264000</v>
      </c>
      <c r="L12" s="104" t="str">
        <f aca="false">IF(G12&lt;=H12,"🔴 REORDER NOW","")</f>
        <v/>
      </c>
    </row>
    <row r="13" customFormat="false" ht="15" hidden="false" customHeight="false" outlineLevel="0" collapsed="false">
      <c r="A13" s="105" t="s">
        <v>59</v>
      </c>
      <c r="B13" s="106" t="s">
        <v>60</v>
      </c>
      <c r="C13" s="105" t="s">
        <v>46</v>
      </c>
      <c r="D13" s="107" t="n">
        <v>15</v>
      </c>
      <c r="E13" s="108" t="n">
        <f aca="false">SUMIF(Purchases!E:E,Inventory!A13,Purchases!G:G)</f>
        <v>7</v>
      </c>
      <c r="F13" s="108" t="n">
        <f aca="false">SUMIF(Sales!E:E,Inventory!A13,Sales!G:G)</f>
        <v>14</v>
      </c>
      <c r="G13" s="108" t="n">
        <f aca="false">D13+E13-F13</f>
        <v>8</v>
      </c>
      <c r="H13" s="107" t="n">
        <v>2</v>
      </c>
      <c r="I13" s="109" t="str">
        <f aca="false">IF(G13&lt;=0,"⛔ Out of Stock",IF(G13&lt;=H13,"⚠️ Low Stock","✅ In Stock"))</f>
        <v>✅ In Stock</v>
      </c>
      <c r="J13" s="110" t="n">
        <v>185000</v>
      </c>
      <c r="K13" s="111" t="n">
        <f aca="false">G13*J13</f>
        <v>1480000</v>
      </c>
      <c r="L13" s="112" t="str">
        <f aca="false">IF(G13&lt;=H13,"🔴 REORDER NOW","")</f>
        <v/>
      </c>
    </row>
    <row r="14" customFormat="false" ht="15" hidden="false" customHeight="false" outlineLevel="0" collapsed="false">
      <c r="A14" s="4" t="s">
        <v>62</v>
      </c>
      <c r="B14" s="43" t="s">
        <v>63</v>
      </c>
      <c r="C14" s="4" t="s">
        <v>64</v>
      </c>
      <c r="D14" s="99" t="n">
        <v>19</v>
      </c>
      <c r="E14" s="100" t="n">
        <f aca="false">SUMIF(Purchases!E:E,Inventory!A14,Purchases!G:G)</f>
        <v>28</v>
      </c>
      <c r="F14" s="100" t="n">
        <f aca="false">SUMIF(Sales!E:E,Inventory!A14,Sales!G:G)</f>
        <v>6</v>
      </c>
      <c r="G14" s="100" t="n">
        <f aca="false">D14+E14-F14</f>
        <v>41</v>
      </c>
      <c r="H14" s="99" t="n">
        <v>3</v>
      </c>
      <c r="I14" s="101" t="str">
        <f aca="false">IF(G14&lt;=0,"⛔ Out of Stock",IF(G14&lt;=H14,"⚠️ Low Stock","✅ In Stock"))</f>
        <v>✅ In Stock</v>
      </c>
      <c r="J14" s="102" t="n">
        <v>95000</v>
      </c>
      <c r="K14" s="103" t="n">
        <f aca="false">G14*J14</f>
        <v>3895000</v>
      </c>
      <c r="L14" s="104" t="str">
        <f aca="false">IF(G14&lt;=H14,"🔴 REORDER NOW","")</f>
        <v/>
      </c>
    </row>
    <row r="15" customFormat="false" ht="15" hidden="false" customHeight="false" outlineLevel="0" collapsed="false">
      <c r="A15" s="105" t="s">
        <v>66</v>
      </c>
      <c r="B15" s="106" t="s">
        <v>67</v>
      </c>
      <c r="C15" s="105" t="s">
        <v>64</v>
      </c>
      <c r="D15" s="107" t="n">
        <v>24</v>
      </c>
      <c r="E15" s="108" t="n">
        <f aca="false">SUMIF(Purchases!E:E,Inventory!A15,Purchases!G:G)</f>
        <v>13</v>
      </c>
      <c r="F15" s="108" t="n">
        <f aca="false">SUMIF(Sales!E:E,Inventory!A15,Sales!G:G)</f>
        <v>0</v>
      </c>
      <c r="G15" s="108" t="n">
        <f aca="false">D15+E15-F15</f>
        <v>37</v>
      </c>
      <c r="H15" s="107" t="n">
        <v>3</v>
      </c>
      <c r="I15" s="109" t="str">
        <f aca="false">IF(G15&lt;=0,"⛔ Out of Stock",IF(G15&lt;=H15,"⚠️ Low Stock","✅ In Stock"))</f>
        <v>✅ In Stock</v>
      </c>
      <c r="J15" s="110" t="n">
        <v>120000</v>
      </c>
      <c r="K15" s="111" t="n">
        <f aca="false">G15*J15</f>
        <v>4440000</v>
      </c>
      <c r="L15" s="112" t="str">
        <f aca="false">IF(G15&lt;=H15,"🔴 REORDER NOW","")</f>
        <v/>
      </c>
    </row>
    <row r="16" customFormat="false" ht="15" hidden="false" customHeight="false" outlineLevel="0" collapsed="false">
      <c r="A16" s="4" t="s">
        <v>69</v>
      </c>
      <c r="B16" s="43" t="s">
        <v>70</v>
      </c>
      <c r="C16" s="4" t="s">
        <v>71</v>
      </c>
      <c r="D16" s="99" t="n">
        <v>21</v>
      </c>
      <c r="E16" s="100" t="n">
        <f aca="false">SUMIF(Purchases!E:E,Inventory!A16,Purchases!G:G)</f>
        <v>7</v>
      </c>
      <c r="F16" s="100" t="n">
        <f aca="false">SUMIF(Sales!E:E,Inventory!A16,Sales!G:G)</f>
        <v>1</v>
      </c>
      <c r="G16" s="100" t="n">
        <f aca="false">D16+E16-F16</f>
        <v>27</v>
      </c>
      <c r="H16" s="99" t="n">
        <v>3</v>
      </c>
      <c r="I16" s="101" t="str">
        <f aca="false">IF(G16&lt;=0,"⛔ Out of Stock",IF(G16&lt;=H16,"⚠️ Low Stock","✅ In Stock"))</f>
        <v>✅ In Stock</v>
      </c>
      <c r="J16" s="102" t="n">
        <v>88000</v>
      </c>
      <c r="K16" s="103" t="n">
        <f aca="false">G16*J16</f>
        <v>2376000</v>
      </c>
      <c r="L16" s="104" t="str">
        <f aca="false">IF(G16&lt;=H16,"🔴 REORDER NOW","")</f>
        <v/>
      </c>
    </row>
    <row r="17" customFormat="false" ht="15" hidden="false" customHeight="false" outlineLevel="0" collapsed="false">
      <c r="A17" s="105" t="s">
        <v>73</v>
      </c>
      <c r="B17" s="106" t="s">
        <v>74</v>
      </c>
      <c r="C17" s="105" t="s">
        <v>71</v>
      </c>
      <c r="D17" s="107" t="n">
        <v>18</v>
      </c>
      <c r="E17" s="108" t="n">
        <f aca="false">SUMIF(Purchases!E:E,Inventory!A17,Purchases!G:G)</f>
        <v>1</v>
      </c>
      <c r="F17" s="108" t="n">
        <f aca="false">SUMIF(Sales!E:E,Inventory!A17,Sales!G:G)</f>
        <v>3</v>
      </c>
      <c r="G17" s="108" t="n">
        <f aca="false">D17+E17-F17</f>
        <v>16</v>
      </c>
      <c r="H17" s="107" t="n">
        <v>4</v>
      </c>
      <c r="I17" s="109" t="str">
        <f aca="false">IF(G17&lt;=0,"⛔ Out of Stock",IF(G17&lt;=H17,"⚠️ Low Stock","✅ In Stock"))</f>
        <v>✅ In Stock</v>
      </c>
      <c r="J17" s="110" t="n">
        <v>65000</v>
      </c>
      <c r="K17" s="111" t="n">
        <f aca="false">G17*J17</f>
        <v>1040000</v>
      </c>
      <c r="L17" s="112" t="str">
        <f aca="false">IF(G17&lt;=H17,"🔴 REORDER NOW","")</f>
        <v/>
      </c>
    </row>
    <row r="18" customFormat="false" ht="15" hidden="false" customHeight="false" outlineLevel="0" collapsed="false">
      <c r="A18" s="4" t="s">
        <v>78</v>
      </c>
      <c r="B18" s="43" t="s">
        <v>79</v>
      </c>
      <c r="C18" s="4" t="s">
        <v>80</v>
      </c>
      <c r="D18" s="99" t="n">
        <v>22</v>
      </c>
      <c r="E18" s="100" t="n">
        <f aca="false">SUMIF(Purchases!E:E,Inventory!A18,Purchases!G:G)</f>
        <v>29</v>
      </c>
      <c r="F18" s="100" t="n">
        <f aca="false">SUMIF(Sales!E:E,Inventory!A18,Sales!G:G)</f>
        <v>15</v>
      </c>
      <c r="G18" s="100" t="n">
        <f aca="false">D18+E18-F18</f>
        <v>36</v>
      </c>
      <c r="H18" s="99" t="n">
        <v>3</v>
      </c>
      <c r="I18" s="101" t="str">
        <f aca="false">IF(G18&lt;=0,"⛔ Out of Stock",IF(G18&lt;=H18,"⚠️ Low Stock","✅ In Stock"))</f>
        <v>✅ In Stock</v>
      </c>
      <c r="J18" s="102" t="n">
        <v>75000</v>
      </c>
      <c r="K18" s="103" t="n">
        <f aca="false">G18*J18</f>
        <v>2700000</v>
      </c>
      <c r="L18" s="104" t="str">
        <f aca="false">IF(G18&lt;=H18,"🔴 REORDER NOW","")</f>
        <v/>
      </c>
    </row>
    <row r="19" customFormat="false" ht="15" hidden="false" customHeight="false" outlineLevel="0" collapsed="false">
      <c r="A19" s="105" t="s">
        <v>84</v>
      </c>
      <c r="B19" s="106" t="s">
        <v>85</v>
      </c>
      <c r="C19" s="105" t="s">
        <v>80</v>
      </c>
      <c r="D19" s="107" t="n">
        <v>19</v>
      </c>
      <c r="E19" s="108" t="n">
        <f aca="false">SUMIF(Purchases!E:E,Inventory!A19,Purchases!G:G)</f>
        <v>30</v>
      </c>
      <c r="F19" s="108" t="n">
        <f aca="false">SUMIF(Sales!E:E,Inventory!A19,Sales!G:G)</f>
        <v>0</v>
      </c>
      <c r="G19" s="108" t="n">
        <f aca="false">D19+E19-F19</f>
        <v>49</v>
      </c>
      <c r="H19" s="107" t="n">
        <v>4</v>
      </c>
      <c r="I19" s="109" t="str">
        <f aca="false">IF(G19&lt;=0,"⛔ Out of Stock",IF(G19&lt;=H19,"⚠️ Low Stock","✅ In Stock"))</f>
        <v>✅ In Stock</v>
      </c>
      <c r="J19" s="110" t="n">
        <v>62000</v>
      </c>
      <c r="K19" s="111" t="n">
        <f aca="false">G19*J19</f>
        <v>3038000</v>
      </c>
      <c r="L19" s="112" t="str">
        <f aca="false">IF(G19&lt;=H19,"🔴 REORDER NOW","")</f>
        <v/>
      </c>
    </row>
    <row r="20" customFormat="false" ht="15" hidden="false" customHeight="false" outlineLevel="0" collapsed="false">
      <c r="A20" s="4" t="s">
        <v>88</v>
      </c>
      <c r="B20" s="43" t="s">
        <v>89</v>
      </c>
      <c r="C20" s="4" t="s">
        <v>90</v>
      </c>
      <c r="D20" s="99" t="n">
        <v>10</v>
      </c>
      <c r="E20" s="100" t="n">
        <f aca="false">SUMIF(Purchases!E:E,Inventory!A20,Purchases!G:G)</f>
        <v>10</v>
      </c>
      <c r="F20" s="100" t="n">
        <f aca="false">SUMIF(Sales!E:E,Inventory!A20,Sales!G:G)</f>
        <v>1</v>
      </c>
      <c r="G20" s="100" t="n">
        <f aca="false">D20+E20-F20</f>
        <v>19</v>
      </c>
      <c r="H20" s="99" t="n">
        <v>8</v>
      </c>
      <c r="I20" s="101" t="str">
        <f aca="false">IF(G20&lt;=0,"⛔ Out of Stock",IF(G20&lt;=H20,"⚠️ Low Stock","✅ In Stock"))</f>
        <v>✅ In Stock</v>
      </c>
      <c r="J20" s="102" t="n">
        <v>32000</v>
      </c>
      <c r="K20" s="103" t="n">
        <f aca="false">G20*J20</f>
        <v>608000</v>
      </c>
      <c r="L20" s="104" t="str">
        <f aca="false">IF(G20&lt;=H20,"🔴 REORDER NOW","")</f>
        <v/>
      </c>
    </row>
    <row r="21" customFormat="false" ht="15" hidden="false" customHeight="false" outlineLevel="0" collapsed="false">
      <c r="A21" s="105" t="s">
        <v>92</v>
      </c>
      <c r="B21" s="106" t="s">
        <v>93</v>
      </c>
      <c r="C21" s="105" t="s">
        <v>90</v>
      </c>
      <c r="D21" s="107" t="n">
        <v>20</v>
      </c>
      <c r="E21" s="108" t="n">
        <f aca="false">SUMIF(Purchases!E:E,Inventory!A21,Purchases!G:G)</f>
        <v>13</v>
      </c>
      <c r="F21" s="108" t="n">
        <f aca="false">SUMIF(Sales!E:E,Inventory!A21,Sales!G:G)</f>
        <v>10</v>
      </c>
      <c r="G21" s="108" t="n">
        <f aca="false">D21+E21-F21</f>
        <v>23</v>
      </c>
      <c r="H21" s="107" t="n">
        <v>10</v>
      </c>
      <c r="I21" s="109" t="str">
        <f aca="false">IF(G21&lt;=0,"⛔ Out of Stock",IF(G21&lt;=H21,"⚠️ Low Stock","✅ In Stock"))</f>
        <v>✅ In Stock</v>
      </c>
      <c r="J21" s="110" t="n">
        <v>18000</v>
      </c>
      <c r="K21" s="111" t="n">
        <f aca="false">G21*J21</f>
        <v>414000</v>
      </c>
      <c r="L21" s="112" t="str">
        <f aca="false">IF(G21&lt;=H21,"🔴 REORDER NOW","")</f>
        <v/>
      </c>
    </row>
    <row r="22" customFormat="false" ht="15" hidden="false" customHeight="false" outlineLevel="0" collapsed="false">
      <c r="A22" s="4" t="s">
        <v>97</v>
      </c>
      <c r="B22" s="43" t="s">
        <v>98</v>
      </c>
      <c r="C22" s="4" t="s">
        <v>99</v>
      </c>
      <c r="D22" s="99" t="n">
        <v>19</v>
      </c>
      <c r="E22" s="100" t="n">
        <f aca="false">SUMIF(Purchases!E:E,Inventory!A22,Purchases!G:G)</f>
        <v>20</v>
      </c>
      <c r="F22" s="100" t="n">
        <f aca="false">SUMIF(Sales!E:E,Inventory!A22,Sales!G:G)</f>
        <v>0</v>
      </c>
      <c r="G22" s="100" t="n">
        <f aca="false">D22+E22-F22</f>
        <v>39</v>
      </c>
      <c r="H22" s="99" t="n">
        <v>15</v>
      </c>
      <c r="I22" s="101" t="str">
        <f aca="false">IF(G22&lt;=0,"⛔ Out of Stock",IF(G22&lt;=H22,"⚠️ Low Stock","✅ In Stock"))</f>
        <v>✅ In Stock</v>
      </c>
      <c r="J22" s="102" t="n">
        <v>5500</v>
      </c>
      <c r="K22" s="103" t="n">
        <f aca="false">G22*J22</f>
        <v>214500</v>
      </c>
      <c r="L22" s="104" t="str">
        <f aca="false">IF(G22&lt;=H22,"🔴 REORDER NOW","")</f>
        <v/>
      </c>
    </row>
    <row r="23" customFormat="false" ht="15" hidden="false" customHeight="false" outlineLevel="0" collapsed="false">
      <c r="A23" s="105" t="s">
        <v>103</v>
      </c>
      <c r="B23" s="106" t="s">
        <v>104</v>
      </c>
      <c r="C23" s="105" t="s">
        <v>99</v>
      </c>
      <c r="D23" s="107" t="n">
        <v>13</v>
      </c>
      <c r="E23" s="108" t="n">
        <f aca="false">SUMIF(Purchases!E:E,Inventory!A23,Purchases!G:G)</f>
        <v>19</v>
      </c>
      <c r="F23" s="108" t="n">
        <f aca="false">SUMIF(Sales!E:E,Inventory!A23,Sales!G:G)</f>
        <v>6</v>
      </c>
      <c r="G23" s="108" t="n">
        <f aca="false">D23+E23-F23</f>
        <v>26</v>
      </c>
      <c r="H23" s="107" t="n">
        <v>10</v>
      </c>
      <c r="I23" s="109" t="str">
        <f aca="false">IF(G23&lt;=0,"⛔ Out of Stock",IF(G23&lt;=H23,"⚠️ Low Stock","✅ In Stock"))</f>
        <v>✅ In Stock</v>
      </c>
      <c r="J23" s="110" t="n">
        <v>7500</v>
      </c>
      <c r="K23" s="111" t="n">
        <f aca="false">G23*J23</f>
        <v>195000</v>
      </c>
      <c r="L23" s="112" t="str">
        <f aca="false">IF(G23&lt;=H23,"🔴 REORDER NOW","")</f>
        <v/>
      </c>
    </row>
    <row r="24" customFormat="false" ht="15" hidden="false" customHeight="false" outlineLevel="0" collapsed="false">
      <c r="A24" s="4" t="s">
        <v>108</v>
      </c>
      <c r="B24" s="43" t="s">
        <v>109</v>
      </c>
      <c r="C24" s="4" t="s">
        <v>110</v>
      </c>
      <c r="D24" s="99" t="n">
        <v>12</v>
      </c>
      <c r="E24" s="100" t="n">
        <f aca="false">SUMIF(Purchases!E:E,Inventory!A24,Purchases!G:G)</f>
        <v>18</v>
      </c>
      <c r="F24" s="100" t="n">
        <f aca="false">SUMIF(Sales!E:E,Inventory!A24,Sales!G:G)</f>
        <v>0</v>
      </c>
      <c r="G24" s="100" t="n">
        <f aca="false">D24+E24-F24</f>
        <v>30</v>
      </c>
      <c r="H24" s="99" t="n">
        <v>12</v>
      </c>
      <c r="I24" s="101" t="str">
        <f aca="false">IF(G24&lt;=0,"⛔ Out of Stock",IF(G24&lt;=H24,"⚠️ Low Stock","✅ In Stock"))</f>
        <v>✅ In Stock</v>
      </c>
      <c r="J24" s="102" t="n">
        <v>12000</v>
      </c>
      <c r="K24" s="103" t="n">
        <f aca="false">G24*J24</f>
        <v>360000</v>
      </c>
      <c r="L24" s="104" t="str">
        <f aca="false">IF(G24&lt;=H24,"🔴 REORDER NOW","")</f>
        <v/>
      </c>
    </row>
    <row r="25" customFormat="false" ht="15" hidden="false" customHeight="false" outlineLevel="0" collapsed="false">
      <c r="A25" s="105" t="s">
        <v>114</v>
      </c>
      <c r="B25" s="106" t="s">
        <v>115</v>
      </c>
      <c r="C25" s="105" t="s">
        <v>110</v>
      </c>
      <c r="D25" s="107" t="n">
        <v>25</v>
      </c>
      <c r="E25" s="108" t="n">
        <f aca="false">SUMIF(Purchases!E:E,Inventory!A25,Purchases!G:G)</f>
        <v>15</v>
      </c>
      <c r="F25" s="108" t="n">
        <f aca="false">SUMIF(Sales!E:E,Inventory!A25,Sales!G:G)</f>
        <v>11</v>
      </c>
      <c r="G25" s="108" t="n">
        <f aca="false">D25+E25-F25</f>
        <v>29</v>
      </c>
      <c r="H25" s="107" t="n">
        <v>8</v>
      </c>
      <c r="I25" s="109" t="str">
        <f aca="false">IF(G25&lt;=0,"⛔ Out of Stock",IF(G25&lt;=H25,"⚠️ Low Stock","✅ In Stock"))</f>
        <v>✅ In Stock</v>
      </c>
      <c r="J25" s="110" t="n">
        <v>15000</v>
      </c>
      <c r="K25" s="111" t="n">
        <f aca="false">G25*J25</f>
        <v>435000</v>
      </c>
      <c r="L25" s="112" t="str">
        <f aca="false">IF(G25&lt;=H25,"🔴 REORDER NOW","")</f>
        <v/>
      </c>
    </row>
    <row r="26" customFormat="false" ht="15" hidden="false" customHeight="false" outlineLevel="0" collapsed="false">
      <c r="A26" s="4" t="s">
        <v>117</v>
      </c>
      <c r="B26" s="43" t="s">
        <v>118</v>
      </c>
      <c r="C26" s="4" t="s">
        <v>119</v>
      </c>
      <c r="D26" s="99" t="n">
        <v>13</v>
      </c>
      <c r="E26" s="100" t="n">
        <f aca="false">SUMIF(Purchases!E:E,Inventory!A26,Purchases!G:G)</f>
        <v>5</v>
      </c>
      <c r="F26" s="100" t="n">
        <f aca="false">SUMIF(Sales!E:E,Inventory!A26,Sales!G:G)</f>
        <v>10</v>
      </c>
      <c r="G26" s="100" t="n">
        <f aca="false">D26+E26-F26</f>
        <v>8</v>
      </c>
      <c r="H26" s="99" t="n">
        <v>10</v>
      </c>
      <c r="I26" s="101" t="str">
        <f aca="false">IF(G26&lt;=0,"⛔ Out of Stock",IF(G26&lt;=H26,"⚠️ Low Stock","✅ In Stock"))</f>
        <v>⚠️ Low Stock</v>
      </c>
      <c r="J26" s="102" t="n">
        <v>18000</v>
      </c>
      <c r="K26" s="103" t="n">
        <f aca="false">G26*J26</f>
        <v>144000</v>
      </c>
      <c r="L26" s="104" t="str">
        <f aca="false">IF(G26&lt;=H26,"🔴 REORDER NOW","")</f>
        <v>🔴 REORDER NOW</v>
      </c>
    </row>
    <row r="27" customFormat="false" ht="15" hidden="false" customHeight="false" outlineLevel="0" collapsed="false">
      <c r="A27" s="105" t="s">
        <v>121</v>
      </c>
      <c r="B27" s="106" t="s">
        <v>122</v>
      </c>
      <c r="C27" s="105" t="s">
        <v>119</v>
      </c>
      <c r="D27" s="107" t="n">
        <v>21</v>
      </c>
      <c r="E27" s="108" t="n">
        <f aca="false">SUMIF(Purchases!E:E,Inventory!A27,Purchases!G:G)</f>
        <v>17</v>
      </c>
      <c r="F27" s="108" t="n">
        <f aca="false">SUMIF(Sales!E:E,Inventory!A27,Sales!G:G)</f>
        <v>0</v>
      </c>
      <c r="G27" s="108" t="n">
        <f aca="false">D27+E27-F27</f>
        <v>38</v>
      </c>
      <c r="H27" s="107" t="n">
        <v>10</v>
      </c>
      <c r="I27" s="109" t="str">
        <f aca="false">IF(G27&lt;=0,"⛔ Out of Stock",IF(G27&lt;=H27,"⚠️ Low Stock","✅ In Stock"))</f>
        <v>✅ In Stock</v>
      </c>
      <c r="J27" s="110" t="n">
        <v>12000</v>
      </c>
      <c r="K27" s="111" t="n">
        <f aca="false">G27*J27</f>
        <v>456000</v>
      </c>
      <c r="L27" s="112" t="str">
        <f aca="false">IF(G27&lt;=H27,"🔴 REORDER NOW","")</f>
        <v/>
      </c>
    </row>
    <row r="28" customFormat="false" ht="15" hidden="false" customHeight="false" outlineLevel="0" collapsed="false">
      <c r="A28" s="4" t="s">
        <v>126</v>
      </c>
      <c r="B28" s="43" t="s">
        <v>127</v>
      </c>
      <c r="C28" s="4" t="s">
        <v>128</v>
      </c>
      <c r="D28" s="99" t="n">
        <v>20</v>
      </c>
      <c r="E28" s="100" t="n">
        <f aca="false">SUMIF(Purchases!E:E,Inventory!A28,Purchases!G:G)</f>
        <v>15</v>
      </c>
      <c r="F28" s="100" t="n">
        <f aca="false">SUMIF(Sales!E:E,Inventory!A28,Sales!G:G)</f>
        <v>4</v>
      </c>
      <c r="G28" s="100" t="n">
        <f aca="false">D28+E28-F28</f>
        <v>31</v>
      </c>
      <c r="H28" s="99" t="n">
        <v>2</v>
      </c>
      <c r="I28" s="101" t="str">
        <f aca="false">IF(G28&lt;=0,"⛔ Out of Stock",IF(G28&lt;=H28,"⚠️ Low Stock","✅ In Stock"))</f>
        <v>✅ In Stock</v>
      </c>
      <c r="J28" s="102" t="n">
        <v>125000</v>
      </c>
      <c r="K28" s="103" t="n">
        <f aca="false">G28*J28</f>
        <v>3875000</v>
      </c>
      <c r="L28" s="104" t="str">
        <f aca="false">IF(G28&lt;=H28,"🔴 REORDER NOW","")</f>
        <v/>
      </c>
    </row>
    <row r="29" customFormat="false" ht="15" hidden="false" customHeight="false" outlineLevel="0" collapsed="false">
      <c r="A29" s="113" t="s">
        <v>509</v>
      </c>
      <c r="B29" s="113"/>
      <c r="C29" s="113"/>
      <c r="D29" s="113"/>
      <c r="E29" s="113"/>
      <c r="F29" s="113"/>
      <c r="G29" s="113"/>
      <c r="H29" s="113"/>
      <c r="I29" s="113"/>
      <c r="J29" s="113"/>
      <c r="K29" s="114" t="n">
        <f aca="false">SUM(K4:K28)</f>
        <v>45410500</v>
      </c>
    </row>
  </sheetData>
  <mergeCells count="3">
    <mergeCell ref="A1:L1"/>
    <mergeCell ref="A2:L2"/>
    <mergeCell ref="A29:J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35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4"/>
  </cols>
  <sheetData>
    <row r="1" customFormat="false" ht="30" hidden="false" customHeight="true" outlineLevel="0" collapsed="false">
      <c r="A1" s="1" t="s">
        <v>510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511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115" t="s">
        <v>512</v>
      </c>
      <c r="B3" s="115" t="s">
        <v>334</v>
      </c>
      <c r="C3" s="115" t="s">
        <v>4</v>
      </c>
      <c r="D3" s="115" t="s">
        <v>11</v>
      </c>
      <c r="E3" s="115" t="s">
        <v>513</v>
      </c>
      <c r="F3" s="115" t="s">
        <v>255</v>
      </c>
      <c r="G3" s="115" t="s">
        <v>514</v>
      </c>
    </row>
    <row r="4" customFormat="false" ht="15" hidden="false" customHeight="false" outlineLevel="0" collapsed="false">
      <c r="A4" s="4" t="s">
        <v>515</v>
      </c>
      <c r="B4" s="83" t="n">
        <v>45517</v>
      </c>
      <c r="C4" s="4" t="s">
        <v>516</v>
      </c>
      <c r="D4" s="4" t="s">
        <v>517</v>
      </c>
      <c r="E4" s="116" t="n">
        <v>28998</v>
      </c>
      <c r="F4" s="4" t="s">
        <v>518</v>
      </c>
      <c r="G4" s="4" t="s">
        <v>519</v>
      </c>
    </row>
    <row r="5" customFormat="false" ht="15" hidden="false" customHeight="false" outlineLevel="0" collapsed="false">
      <c r="A5" s="117" t="s">
        <v>520</v>
      </c>
      <c r="B5" s="118" t="n">
        <v>45431</v>
      </c>
      <c r="C5" s="117" t="s">
        <v>521</v>
      </c>
      <c r="D5" s="117" t="s">
        <v>522</v>
      </c>
      <c r="E5" s="119" t="n">
        <v>8841</v>
      </c>
      <c r="F5" s="117" t="s">
        <v>260</v>
      </c>
      <c r="G5" s="117" t="s">
        <v>523</v>
      </c>
    </row>
    <row r="6" customFormat="false" ht="15" hidden="false" customHeight="false" outlineLevel="0" collapsed="false">
      <c r="A6" s="4" t="s">
        <v>524</v>
      </c>
      <c r="B6" s="83" t="n">
        <v>45369</v>
      </c>
      <c r="C6" s="4" t="s">
        <v>525</v>
      </c>
      <c r="D6" s="4" t="s">
        <v>526</v>
      </c>
      <c r="E6" s="116" t="n">
        <v>159068</v>
      </c>
      <c r="F6" s="4" t="s">
        <v>260</v>
      </c>
      <c r="G6" s="4" t="s">
        <v>527</v>
      </c>
    </row>
    <row r="7" customFormat="false" ht="15" hidden="false" customHeight="false" outlineLevel="0" collapsed="false">
      <c r="A7" s="117" t="s">
        <v>528</v>
      </c>
      <c r="B7" s="118" t="n">
        <v>45401</v>
      </c>
      <c r="C7" s="117" t="s">
        <v>529</v>
      </c>
      <c r="D7" s="117" t="s">
        <v>530</v>
      </c>
      <c r="E7" s="119" t="n">
        <v>26573</v>
      </c>
      <c r="F7" s="117" t="s">
        <v>260</v>
      </c>
      <c r="G7" s="117" t="s">
        <v>531</v>
      </c>
    </row>
    <row r="8" customFormat="false" ht="15" hidden="false" customHeight="false" outlineLevel="0" collapsed="false">
      <c r="A8" s="4" t="s">
        <v>532</v>
      </c>
      <c r="B8" s="83" t="n">
        <v>45569</v>
      </c>
      <c r="C8" s="4" t="s">
        <v>533</v>
      </c>
      <c r="D8" s="4" t="s">
        <v>534</v>
      </c>
      <c r="E8" s="116" t="n">
        <v>4710</v>
      </c>
      <c r="F8" s="4" t="s">
        <v>260</v>
      </c>
      <c r="G8" s="4" t="s">
        <v>535</v>
      </c>
    </row>
    <row r="9" customFormat="false" ht="15" hidden="false" customHeight="false" outlineLevel="0" collapsed="false">
      <c r="A9" s="117" t="s">
        <v>536</v>
      </c>
      <c r="B9" s="118" t="n">
        <v>45507</v>
      </c>
      <c r="C9" s="117" t="s">
        <v>537</v>
      </c>
      <c r="D9" s="117" t="s">
        <v>538</v>
      </c>
      <c r="E9" s="119" t="n">
        <v>80000</v>
      </c>
      <c r="F9" s="117" t="s">
        <v>518</v>
      </c>
      <c r="G9" s="117" t="s">
        <v>539</v>
      </c>
    </row>
    <row r="10" customFormat="false" ht="15" hidden="false" customHeight="false" outlineLevel="0" collapsed="false">
      <c r="A10" s="4" t="s">
        <v>540</v>
      </c>
      <c r="B10" s="83" t="n">
        <v>45536</v>
      </c>
      <c r="C10" s="4" t="s">
        <v>537</v>
      </c>
      <c r="D10" s="4" t="s">
        <v>538</v>
      </c>
      <c r="E10" s="116" t="n">
        <v>80000</v>
      </c>
      <c r="F10" s="4" t="s">
        <v>260</v>
      </c>
      <c r="G10" s="4" t="s">
        <v>541</v>
      </c>
    </row>
    <row r="11" customFormat="false" ht="15" hidden="false" customHeight="false" outlineLevel="0" collapsed="false">
      <c r="A11" s="117" t="s">
        <v>542</v>
      </c>
      <c r="B11" s="118" t="n">
        <v>45506</v>
      </c>
      <c r="C11" s="117" t="s">
        <v>521</v>
      </c>
      <c r="D11" s="117" t="s">
        <v>522</v>
      </c>
      <c r="E11" s="119" t="n">
        <v>11389</v>
      </c>
      <c r="F11" s="117" t="s">
        <v>518</v>
      </c>
      <c r="G11" s="117" t="s">
        <v>543</v>
      </c>
    </row>
    <row r="12" customFormat="false" ht="15" hidden="false" customHeight="false" outlineLevel="0" collapsed="false">
      <c r="A12" s="4" t="s">
        <v>544</v>
      </c>
      <c r="B12" s="83" t="n">
        <v>45404</v>
      </c>
      <c r="C12" s="4" t="s">
        <v>516</v>
      </c>
      <c r="D12" s="4" t="s">
        <v>517</v>
      </c>
      <c r="E12" s="116" t="n">
        <v>35998</v>
      </c>
      <c r="F12" s="4" t="s">
        <v>260</v>
      </c>
      <c r="G12" s="4" t="s">
        <v>545</v>
      </c>
    </row>
    <row r="13" customFormat="false" ht="15" hidden="false" customHeight="false" outlineLevel="0" collapsed="false">
      <c r="A13" s="117" t="s">
        <v>546</v>
      </c>
      <c r="B13" s="118" t="n">
        <v>45491</v>
      </c>
      <c r="C13" s="117" t="s">
        <v>547</v>
      </c>
      <c r="D13" s="117" t="s">
        <v>548</v>
      </c>
      <c r="E13" s="119" t="n">
        <v>2237</v>
      </c>
      <c r="F13" s="117" t="s">
        <v>518</v>
      </c>
      <c r="G13" s="117" t="s">
        <v>549</v>
      </c>
    </row>
    <row r="14" customFormat="false" ht="15" hidden="false" customHeight="false" outlineLevel="0" collapsed="false">
      <c r="A14" s="4" t="s">
        <v>550</v>
      </c>
      <c r="B14" s="83" t="n">
        <v>45376</v>
      </c>
      <c r="C14" s="4" t="s">
        <v>533</v>
      </c>
      <c r="D14" s="4" t="s">
        <v>534</v>
      </c>
      <c r="E14" s="116" t="n">
        <v>7932</v>
      </c>
      <c r="F14" s="4" t="s">
        <v>258</v>
      </c>
      <c r="G14" s="4" t="s">
        <v>551</v>
      </c>
    </row>
    <row r="15" customFormat="false" ht="15" hidden="false" customHeight="false" outlineLevel="0" collapsed="false">
      <c r="A15" s="117" t="s">
        <v>552</v>
      </c>
      <c r="B15" s="118" t="n">
        <v>45595</v>
      </c>
      <c r="C15" s="117" t="s">
        <v>537</v>
      </c>
      <c r="D15" s="117" t="s">
        <v>538</v>
      </c>
      <c r="E15" s="119" t="n">
        <v>80000</v>
      </c>
      <c r="F15" s="117" t="s">
        <v>258</v>
      </c>
      <c r="G15" s="117" t="s">
        <v>553</v>
      </c>
    </row>
    <row r="16" customFormat="false" ht="15" hidden="false" customHeight="false" outlineLevel="0" collapsed="false">
      <c r="A16" s="4" t="s">
        <v>554</v>
      </c>
      <c r="B16" s="83" t="n">
        <v>45528</v>
      </c>
      <c r="C16" s="4" t="s">
        <v>533</v>
      </c>
      <c r="D16" s="4" t="s">
        <v>534</v>
      </c>
      <c r="E16" s="116" t="n">
        <v>3111</v>
      </c>
      <c r="F16" s="4" t="s">
        <v>258</v>
      </c>
      <c r="G16" s="4" t="s">
        <v>555</v>
      </c>
    </row>
    <row r="17" customFormat="false" ht="15" hidden="false" customHeight="false" outlineLevel="0" collapsed="false">
      <c r="A17" s="117" t="s">
        <v>556</v>
      </c>
      <c r="B17" s="118" t="n">
        <v>45459</v>
      </c>
      <c r="C17" s="117" t="s">
        <v>521</v>
      </c>
      <c r="D17" s="117" t="s">
        <v>522</v>
      </c>
      <c r="E17" s="119" t="n">
        <v>11211</v>
      </c>
      <c r="F17" s="117" t="s">
        <v>260</v>
      </c>
      <c r="G17" s="117" t="s">
        <v>557</v>
      </c>
    </row>
    <row r="18" customFormat="false" ht="15" hidden="false" customHeight="false" outlineLevel="0" collapsed="false">
      <c r="A18" s="4" t="s">
        <v>558</v>
      </c>
      <c r="B18" s="83" t="n">
        <v>45486</v>
      </c>
      <c r="C18" s="4" t="s">
        <v>559</v>
      </c>
      <c r="D18" s="4" t="s">
        <v>560</v>
      </c>
      <c r="E18" s="116" t="n">
        <v>10529</v>
      </c>
      <c r="F18" s="4" t="s">
        <v>260</v>
      </c>
      <c r="G18" s="4" t="s">
        <v>561</v>
      </c>
    </row>
    <row r="19" customFormat="false" ht="15" hidden="false" customHeight="false" outlineLevel="0" collapsed="false">
      <c r="A19" s="117" t="s">
        <v>562</v>
      </c>
      <c r="B19" s="118" t="n">
        <v>45532</v>
      </c>
      <c r="C19" s="117" t="s">
        <v>521</v>
      </c>
      <c r="D19" s="117" t="s">
        <v>522</v>
      </c>
      <c r="E19" s="119" t="n">
        <v>6341</v>
      </c>
      <c r="F19" s="117" t="s">
        <v>518</v>
      </c>
      <c r="G19" s="117" t="s">
        <v>563</v>
      </c>
    </row>
    <row r="20" customFormat="false" ht="15" hidden="false" customHeight="false" outlineLevel="0" collapsed="false">
      <c r="A20" s="4" t="s">
        <v>564</v>
      </c>
      <c r="B20" s="83" t="n">
        <v>45406</v>
      </c>
      <c r="C20" s="4" t="s">
        <v>537</v>
      </c>
      <c r="D20" s="4" t="s">
        <v>538</v>
      </c>
      <c r="E20" s="116" t="n">
        <v>80000</v>
      </c>
      <c r="F20" s="4" t="s">
        <v>518</v>
      </c>
      <c r="G20" s="4" t="s">
        <v>565</v>
      </c>
    </row>
    <row r="21" customFormat="false" ht="15" hidden="false" customHeight="false" outlineLevel="0" collapsed="false">
      <c r="A21" s="117" t="s">
        <v>566</v>
      </c>
      <c r="B21" s="118" t="n">
        <v>45418</v>
      </c>
      <c r="C21" s="117" t="s">
        <v>537</v>
      </c>
      <c r="D21" s="117" t="s">
        <v>538</v>
      </c>
      <c r="E21" s="119" t="n">
        <v>80000</v>
      </c>
      <c r="F21" s="117" t="s">
        <v>258</v>
      </c>
      <c r="G21" s="117" t="s">
        <v>567</v>
      </c>
    </row>
    <row r="22" customFormat="false" ht="15" hidden="false" customHeight="false" outlineLevel="0" collapsed="false">
      <c r="A22" s="4" t="s">
        <v>568</v>
      </c>
      <c r="B22" s="83" t="n">
        <v>45356</v>
      </c>
      <c r="C22" s="4" t="s">
        <v>529</v>
      </c>
      <c r="D22" s="4" t="s">
        <v>530</v>
      </c>
      <c r="E22" s="116" t="n">
        <v>18908</v>
      </c>
      <c r="F22" s="4" t="s">
        <v>518</v>
      </c>
      <c r="G22" s="4" t="s">
        <v>569</v>
      </c>
    </row>
    <row r="23" customFormat="false" ht="15" hidden="false" customHeight="false" outlineLevel="0" collapsed="false">
      <c r="A23" s="117" t="s">
        <v>570</v>
      </c>
      <c r="B23" s="118" t="n">
        <v>45403</v>
      </c>
      <c r="C23" s="117" t="s">
        <v>525</v>
      </c>
      <c r="D23" s="117" t="s">
        <v>526</v>
      </c>
      <c r="E23" s="119" t="n">
        <v>186960</v>
      </c>
      <c r="F23" s="117" t="s">
        <v>518</v>
      </c>
      <c r="G23" s="117" t="s">
        <v>571</v>
      </c>
    </row>
    <row r="24" customFormat="false" ht="15" hidden="false" customHeight="false" outlineLevel="0" collapsed="false">
      <c r="A24" s="4" t="s">
        <v>572</v>
      </c>
      <c r="B24" s="83" t="n">
        <v>45377</v>
      </c>
      <c r="C24" s="4" t="s">
        <v>521</v>
      </c>
      <c r="D24" s="4" t="s">
        <v>522</v>
      </c>
      <c r="E24" s="116" t="n">
        <v>11043</v>
      </c>
      <c r="F24" s="4" t="s">
        <v>258</v>
      </c>
      <c r="G24" s="4" t="s">
        <v>573</v>
      </c>
    </row>
    <row r="25" customFormat="false" ht="15" hidden="false" customHeight="false" outlineLevel="0" collapsed="false">
      <c r="A25" s="117" t="s">
        <v>574</v>
      </c>
      <c r="B25" s="118" t="n">
        <v>45588</v>
      </c>
      <c r="C25" s="117" t="s">
        <v>521</v>
      </c>
      <c r="D25" s="117" t="s">
        <v>522</v>
      </c>
      <c r="E25" s="119" t="n">
        <v>6771</v>
      </c>
      <c r="F25" s="117" t="s">
        <v>260</v>
      </c>
      <c r="G25" s="117" t="s">
        <v>575</v>
      </c>
    </row>
    <row r="26" customFormat="false" ht="15" hidden="false" customHeight="false" outlineLevel="0" collapsed="false">
      <c r="A26" s="4" t="s">
        <v>576</v>
      </c>
      <c r="B26" s="83" t="n">
        <v>45393</v>
      </c>
      <c r="C26" s="4" t="s">
        <v>533</v>
      </c>
      <c r="D26" s="4" t="s">
        <v>534</v>
      </c>
      <c r="E26" s="116" t="n">
        <v>5249</v>
      </c>
      <c r="F26" s="4" t="s">
        <v>518</v>
      </c>
      <c r="G26" s="4" t="s">
        <v>577</v>
      </c>
    </row>
    <row r="27" customFormat="false" ht="15" hidden="false" customHeight="false" outlineLevel="0" collapsed="false">
      <c r="A27" s="117" t="s">
        <v>578</v>
      </c>
      <c r="B27" s="118" t="n">
        <v>45648</v>
      </c>
      <c r="C27" s="117" t="s">
        <v>516</v>
      </c>
      <c r="D27" s="117" t="s">
        <v>517</v>
      </c>
      <c r="E27" s="119" t="n">
        <v>23339</v>
      </c>
      <c r="F27" s="117" t="s">
        <v>518</v>
      </c>
      <c r="G27" s="117" t="s">
        <v>579</v>
      </c>
    </row>
    <row r="28" customFormat="false" ht="15" hidden="false" customHeight="false" outlineLevel="0" collapsed="false">
      <c r="A28" s="4" t="s">
        <v>580</v>
      </c>
      <c r="B28" s="83" t="n">
        <v>45313</v>
      </c>
      <c r="C28" s="4" t="s">
        <v>525</v>
      </c>
      <c r="D28" s="4" t="s">
        <v>526</v>
      </c>
      <c r="E28" s="116" t="n">
        <v>187088</v>
      </c>
      <c r="F28" s="4" t="s">
        <v>518</v>
      </c>
      <c r="G28" s="4" t="s">
        <v>581</v>
      </c>
    </row>
    <row r="29" customFormat="false" ht="15" hidden="false" customHeight="false" outlineLevel="0" collapsed="false">
      <c r="A29" s="117" t="s">
        <v>582</v>
      </c>
      <c r="B29" s="118" t="n">
        <v>45481</v>
      </c>
      <c r="C29" s="117" t="s">
        <v>533</v>
      </c>
      <c r="D29" s="117" t="s">
        <v>534</v>
      </c>
      <c r="E29" s="119" t="n">
        <v>7419</v>
      </c>
      <c r="F29" s="117" t="s">
        <v>518</v>
      </c>
      <c r="G29" s="117" t="s">
        <v>583</v>
      </c>
    </row>
    <row r="30" customFormat="false" ht="15" hidden="false" customHeight="false" outlineLevel="0" collapsed="false">
      <c r="A30" s="4" t="s">
        <v>584</v>
      </c>
      <c r="B30" s="83" t="n">
        <v>45507</v>
      </c>
      <c r="C30" s="4" t="s">
        <v>559</v>
      </c>
      <c r="D30" s="4" t="s">
        <v>560</v>
      </c>
      <c r="E30" s="116" t="n">
        <v>5207</v>
      </c>
      <c r="F30" s="4" t="s">
        <v>258</v>
      </c>
      <c r="G30" s="4" t="s">
        <v>585</v>
      </c>
    </row>
    <row r="31" customFormat="false" ht="15" hidden="false" customHeight="false" outlineLevel="0" collapsed="false">
      <c r="A31" s="117" t="s">
        <v>586</v>
      </c>
      <c r="B31" s="118" t="n">
        <v>45477</v>
      </c>
      <c r="C31" s="117" t="s">
        <v>533</v>
      </c>
      <c r="D31" s="117" t="s">
        <v>534</v>
      </c>
      <c r="E31" s="119" t="n">
        <v>9870</v>
      </c>
      <c r="F31" s="117" t="s">
        <v>518</v>
      </c>
      <c r="G31" s="117" t="s">
        <v>587</v>
      </c>
    </row>
    <row r="32" customFormat="false" ht="15" hidden="false" customHeight="false" outlineLevel="0" collapsed="false">
      <c r="A32" s="4" t="s">
        <v>588</v>
      </c>
      <c r="B32" s="83" t="n">
        <v>45382</v>
      </c>
      <c r="C32" s="4" t="s">
        <v>529</v>
      </c>
      <c r="D32" s="4" t="s">
        <v>530</v>
      </c>
      <c r="E32" s="116" t="n">
        <v>22135</v>
      </c>
      <c r="F32" s="4" t="s">
        <v>518</v>
      </c>
      <c r="G32" s="4" t="s">
        <v>589</v>
      </c>
    </row>
    <row r="33" customFormat="false" ht="15" hidden="false" customHeight="false" outlineLevel="0" collapsed="false">
      <c r="A33" s="117" t="s">
        <v>590</v>
      </c>
      <c r="B33" s="118" t="n">
        <v>45539</v>
      </c>
      <c r="C33" s="117" t="s">
        <v>521</v>
      </c>
      <c r="D33" s="117" t="s">
        <v>522</v>
      </c>
      <c r="E33" s="119" t="n">
        <v>13817</v>
      </c>
      <c r="F33" s="117" t="s">
        <v>260</v>
      </c>
      <c r="G33" s="117" t="s">
        <v>591</v>
      </c>
    </row>
    <row r="34" customFormat="false" ht="15" hidden="false" customHeight="false" outlineLevel="0" collapsed="false">
      <c r="A34" s="4" t="s">
        <v>592</v>
      </c>
      <c r="B34" s="83" t="n">
        <v>45417</v>
      </c>
      <c r="C34" s="4" t="s">
        <v>521</v>
      </c>
      <c r="D34" s="4" t="s">
        <v>522</v>
      </c>
      <c r="E34" s="116" t="n">
        <v>10280</v>
      </c>
      <c r="F34" s="4" t="s">
        <v>260</v>
      </c>
      <c r="G34" s="4" t="s">
        <v>593</v>
      </c>
    </row>
    <row r="35" customFormat="false" ht="15" hidden="false" customHeight="false" outlineLevel="0" collapsed="false">
      <c r="A35" s="117" t="s">
        <v>594</v>
      </c>
      <c r="B35" s="118" t="n">
        <v>45529</v>
      </c>
      <c r="C35" s="117" t="s">
        <v>547</v>
      </c>
      <c r="D35" s="117" t="s">
        <v>548</v>
      </c>
      <c r="E35" s="119" t="n">
        <v>3997</v>
      </c>
      <c r="F35" s="117" t="s">
        <v>260</v>
      </c>
      <c r="G35" s="117" t="s">
        <v>595</v>
      </c>
    </row>
    <row r="36" customFormat="false" ht="15" hidden="false" customHeight="false" outlineLevel="0" collapsed="false">
      <c r="A36" s="4" t="s">
        <v>596</v>
      </c>
      <c r="B36" s="83" t="n">
        <v>45458</v>
      </c>
      <c r="C36" s="4" t="s">
        <v>537</v>
      </c>
      <c r="D36" s="4" t="s">
        <v>538</v>
      </c>
      <c r="E36" s="116" t="n">
        <v>80000</v>
      </c>
      <c r="F36" s="4" t="s">
        <v>260</v>
      </c>
      <c r="G36" s="4" t="s">
        <v>597</v>
      </c>
    </row>
    <row r="37" customFormat="false" ht="15" hidden="false" customHeight="false" outlineLevel="0" collapsed="false">
      <c r="A37" s="117" t="s">
        <v>598</v>
      </c>
      <c r="B37" s="118" t="n">
        <v>45424</v>
      </c>
      <c r="C37" s="117" t="s">
        <v>516</v>
      </c>
      <c r="D37" s="117" t="s">
        <v>517</v>
      </c>
      <c r="E37" s="119" t="n">
        <v>31626</v>
      </c>
      <c r="F37" s="117" t="s">
        <v>260</v>
      </c>
      <c r="G37" s="117" t="s">
        <v>599</v>
      </c>
    </row>
    <row r="38" customFormat="false" ht="15" hidden="false" customHeight="false" outlineLevel="0" collapsed="false">
      <c r="A38" s="4" t="s">
        <v>600</v>
      </c>
      <c r="B38" s="83" t="n">
        <v>45297</v>
      </c>
      <c r="C38" s="4" t="s">
        <v>521</v>
      </c>
      <c r="D38" s="4" t="s">
        <v>522</v>
      </c>
      <c r="E38" s="116" t="n">
        <v>14106</v>
      </c>
      <c r="F38" s="4" t="s">
        <v>258</v>
      </c>
      <c r="G38" s="4" t="s">
        <v>601</v>
      </c>
    </row>
    <row r="39" customFormat="false" ht="15" hidden="false" customHeight="false" outlineLevel="0" collapsed="false">
      <c r="A39" s="117" t="s">
        <v>602</v>
      </c>
      <c r="B39" s="118" t="n">
        <v>45500</v>
      </c>
      <c r="C39" s="117" t="s">
        <v>525</v>
      </c>
      <c r="D39" s="117" t="s">
        <v>526</v>
      </c>
      <c r="E39" s="119" t="n">
        <v>165817</v>
      </c>
      <c r="F39" s="117" t="s">
        <v>518</v>
      </c>
      <c r="G39" s="117" t="s">
        <v>603</v>
      </c>
    </row>
    <row r="40" customFormat="false" ht="15" hidden="false" customHeight="false" outlineLevel="0" collapsed="false">
      <c r="A40" s="4" t="s">
        <v>604</v>
      </c>
      <c r="B40" s="83" t="n">
        <v>45535</v>
      </c>
      <c r="C40" s="4" t="s">
        <v>516</v>
      </c>
      <c r="D40" s="4" t="s">
        <v>517</v>
      </c>
      <c r="E40" s="116" t="n">
        <v>42629</v>
      </c>
      <c r="F40" s="4" t="s">
        <v>260</v>
      </c>
      <c r="G40" s="4" t="s">
        <v>605</v>
      </c>
    </row>
    <row r="41" customFormat="false" ht="15" hidden="false" customHeight="false" outlineLevel="0" collapsed="false">
      <c r="A41" s="117" t="s">
        <v>606</v>
      </c>
      <c r="B41" s="118" t="n">
        <v>45442</v>
      </c>
      <c r="C41" s="117" t="s">
        <v>537</v>
      </c>
      <c r="D41" s="117" t="s">
        <v>538</v>
      </c>
      <c r="E41" s="119" t="n">
        <v>80000</v>
      </c>
      <c r="F41" s="117" t="s">
        <v>260</v>
      </c>
      <c r="G41" s="117" t="s">
        <v>607</v>
      </c>
    </row>
    <row r="42" customFormat="false" ht="15" hidden="false" customHeight="false" outlineLevel="0" collapsed="false">
      <c r="A42" s="4" t="s">
        <v>608</v>
      </c>
      <c r="B42" s="83" t="n">
        <v>45631</v>
      </c>
      <c r="C42" s="4" t="s">
        <v>516</v>
      </c>
      <c r="D42" s="4" t="s">
        <v>517</v>
      </c>
      <c r="E42" s="116" t="n">
        <v>30033</v>
      </c>
      <c r="F42" s="4" t="s">
        <v>260</v>
      </c>
      <c r="G42" s="4" t="s">
        <v>609</v>
      </c>
    </row>
    <row r="43" customFormat="false" ht="15" hidden="false" customHeight="false" outlineLevel="0" collapsed="false">
      <c r="A43" s="117" t="s">
        <v>610</v>
      </c>
      <c r="B43" s="118" t="n">
        <v>45573</v>
      </c>
      <c r="C43" s="117" t="s">
        <v>559</v>
      </c>
      <c r="D43" s="117" t="s">
        <v>560</v>
      </c>
      <c r="E43" s="119" t="n">
        <v>11971</v>
      </c>
      <c r="F43" s="117" t="s">
        <v>260</v>
      </c>
      <c r="G43" s="117" t="s">
        <v>611</v>
      </c>
    </row>
    <row r="44" customFormat="false" ht="15" hidden="false" customHeight="false" outlineLevel="0" collapsed="false">
      <c r="A44" s="4" t="s">
        <v>612</v>
      </c>
      <c r="B44" s="83" t="n">
        <v>45448</v>
      </c>
      <c r="C44" s="4" t="s">
        <v>547</v>
      </c>
      <c r="D44" s="4" t="s">
        <v>548</v>
      </c>
      <c r="E44" s="116" t="n">
        <v>4219</v>
      </c>
      <c r="F44" s="4" t="s">
        <v>258</v>
      </c>
      <c r="G44" s="4" t="s">
        <v>613</v>
      </c>
    </row>
    <row r="45" customFormat="false" ht="15" hidden="false" customHeight="false" outlineLevel="0" collapsed="false">
      <c r="A45" s="117" t="s">
        <v>614</v>
      </c>
      <c r="B45" s="118" t="n">
        <v>45390</v>
      </c>
      <c r="C45" s="117" t="s">
        <v>525</v>
      </c>
      <c r="D45" s="117" t="s">
        <v>526</v>
      </c>
      <c r="E45" s="119" t="n">
        <v>197270</v>
      </c>
      <c r="F45" s="117" t="s">
        <v>258</v>
      </c>
      <c r="G45" s="117" t="s">
        <v>615</v>
      </c>
    </row>
    <row r="46" customFormat="false" ht="15" hidden="false" customHeight="false" outlineLevel="0" collapsed="false">
      <c r="A46" s="4" t="s">
        <v>616</v>
      </c>
      <c r="B46" s="83" t="n">
        <v>45402</v>
      </c>
      <c r="C46" s="4" t="s">
        <v>529</v>
      </c>
      <c r="D46" s="4" t="s">
        <v>530</v>
      </c>
      <c r="E46" s="116" t="n">
        <v>18138</v>
      </c>
      <c r="F46" s="4" t="s">
        <v>260</v>
      </c>
      <c r="G46" s="4" t="s">
        <v>617</v>
      </c>
    </row>
    <row r="47" customFormat="false" ht="15" hidden="false" customHeight="false" outlineLevel="0" collapsed="false">
      <c r="A47" s="117" t="s">
        <v>618</v>
      </c>
      <c r="B47" s="118" t="n">
        <v>45391</v>
      </c>
      <c r="C47" s="117" t="s">
        <v>521</v>
      </c>
      <c r="D47" s="117" t="s">
        <v>522</v>
      </c>
      <c r="E47" s="119" t="n">
        <v>6647</v>
      </c>
      <c r="F47" s="117" t="s">
        <v>258</v>
      </c>
      <c r="G47" s="117" t="s">
        <v>619</v>
      </c>
    </row>
    <row r="48" customFormat="false" ht="15" hidden="false" customHeight="false" outlineLevel="0" collapsed="false">
      <c r="A48" s="4" t="s">
        <v>620</v>
      </c>
      <c r="B48" s="83" t="n">
        <v>45446</v>
      </c>
      <c r="C48" s="4" t="s">
        <v>559</v>
      </c>
      <c r="D48" s="4" t="s">
        <v>560</v>
      </c>
      <c r="E48" s="116" t="n">
        <v>7939</v>
      </c>
      <c r="F48" s="4" t="s">
        <v>518</v>
      </c>
      <c r="G48" s="4" t="s">
        <v>621</v>
      </c>
    </row>
    <row r="49" customFormat="false" ht="15" hidden="false" customHeight="false" outlineLevel="0" collapsed="false">
      <c r="A49" s="117" t="s">
        <v>622</v>
      </c>
      <c r="B49" s="118" t="n">
        <v>45315</v>
      </c>
      <c r="C49" s="117" t="s">
        <v>529</v>
      </c>
      <c r="D49" s="117" t="s">
        <v>530</v>
      </c>
      <c r="E49" s="119" t="n">
        <v>19494</v>
      </c>
      <c r="F49" s="117" t="s">
        <v>518</v>
      </c>
      <c r="G49" s="117" t="s">
        <v>623</v>
      </c>
    </row>
    <row r="50" customFormat="false" ht="15" hidden="false" customHeight="false" outlineLevel="0" collapsed="false">
      <c r="A50" s="4" t="s">
        <v>624</v>
      </c>
      <c r="B50" s="83" t="n">
        <v>45618</v>
      </c>
      <c r="C50" s="4" t="s">
        <v>521</v>
      </c>
      <c r="D50" s="4" t="s">
        <v>522</v>
      </c>
      <c r="E50" s="116" t="n">
        <v>7068</v>
      </c>
      <c r="F50" s="4" t="s">
        <v>258</v>
      </c>
      <c r="G50" s="4" t="s">
        <v>625</v>
      </c>
    </row>
    <row r="51" customFormat="false" ht="15" hidden="false" customHeight="false" outlineLevel="0" collapsed="false">
      <c r="A51" s="117" t="s">
        <v>626</v>
      </c>
      <c r="B51" s="118" t="n">
        <v>45532</v>
      </c>
      <c r="C51" s="117" t="s">
        <v>537</v>
      </c>
      <c r="D51" s="117" t="s">
        <v>538</v>
      </c>
      <c r="E51" s="119" t="n">
        <v>80000</v>
      </c>
      <c r="F51" s="117" t="s">
        <v>260</v>
      </c>
      <c r="G51" s="117" t="s">
        <v>627</v>
      </c>
    </row>
    <row r="52" customFormat="false" ht="15" hidden="false" customHeight="false" outlineLevel="0" collapsed="false">
      <c r="A52" s="4" t="s">
        <v>628</v>
      </c>
      <c r="B52" s="83" t="n">
        <v>45318</v>
      </c>
      <c r="C52" s="4" t="s">
        <v>559</v>
      </c>
      <c r="D52" s="4" t="s">
        <v>560</v>
      </c>
      <c r="E52" s="116" t="n">
        <v>8020</v>
      </c>
      <c r="F52" s="4" t="s">
        <v>260</v>
      </c>
      <c r="G52" s="4" t="s">
        <v>629</v>
      </c>
    </row>
    <row r="53" customFormat="false" ht="15" hidden="false" customHeight="false" outlineLevel="0" collapsed="false">
      <c r="A53" s="117" t="s">
        <v>630</v>
      </c>
      <c r="B53" s="118" t="n">
        <v>45497</v>
      </c>
      <c r="C53" s="117" t="s">
        <v>525</v>
      </c>
      <c r="D53" s="117" t="s">
        <v>526</v>
      </c>
      <c r="E53" s="119" t="n">
        <v>154282</v>
      </c>
      <c r="F53" s="117" t="s">
        <v>258</v>
      </c>
      <c r="G53" s="117" t="s">
        <v>631</v>
      </c>
    </row>
    <row r="54" customFormat="false" ht="15" hidden="false" customHeight="false" outlineLevel="0" collapsed="false">
      <c r="A54" s="120" t="s">
        <v>632</v>
      </c>
      <c r="B54" s="120"/>
      <c r="C54" s="120"/>
      <c r="D54" s="120"/>
      <c r="E54" s="121" t="n">
        <f aca="false">SUM(E4:E53)</f>
        <v>2188280</v>
      </c>
    </row>
  </sheetData>
  <mergeCells count="3">
    <mergeCell ref="A1:G1"/>
    <mergeCell ref="A2:G2"/>
    <mergeCell ref="A54:D54"/>
  </mergeCells>
  <dataValidations count="1">
    <dataValidation allowBlank="false" errorStyle="stop" operator="between" showDropDown="false" showErrorMessage="false" showInputMessage="false" sqref="C4:C200" type="list">
      <formula1>"Rent,Salaries,Utilities,Marketing,Logistics,Repairs &amp; Maintenance,Miscellaneous,Office Supplies"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5" min="5" style="0" width="15"/>
    <col collapsed="false" customWidth="true" hidden="false" outlineLevel="0" max="7" min="6" style="0" width="13"/>
    <col collapsed="false" customWidth="true" hidden="false" outlineLevel="0" max="8" min="8" style="0" width="14"/>
    <col collapsed="false" customWidth="true" hidden="false" outlineLevel="0" max="9" min="9" style="0" width="12"/>
  </cols>
  <sheetData>
    <row r="1" customFormat="false" ht="30" hidden="false" customHeight="true" outlineLevel="0" collapsed="false">
      <c r="A1" s="1" t="s">
        <v>633</v>
      </c>
      <c r="B1" s="1"/>
      <c r="C1" s="1"/>
      <c r="D1" s="1"/>
      <c r="E1" s="1"/>
      <c r="F1" s="1"/>
      <c r="G1" s="1"/>
      <c r="H1" s="1"/>
      <c r="I1" s="1"/>
    </row>
    <row r="2" customFormat="false" ht="21.75" hidden="false" customHeight="true" outlineLevel="0" collapsed="false">
      <c r="A2" s="2" t="s">
        <v>634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58" t="s">
        <v>443</v>
      </c>
      <c r="B3" s="58" t="s">
        <v>334</v>
      </c>
      <c r="C3" s="58" t="s">
        <v>234</v>
      </c>
      <c r="D3" s="58" t="s">
        <v>235</v>
      </c>
      <c r="E3" s="58" t="s">
        <v>635</v>
      </c>
      <c r="F3" s="58" t="s">
        <v>448</v>
      </c>
      <c r="G3" s="58" t="s">
        <v>449</v>
      </c>
      <c r="H3" s="58" t="s">
        <v>636</v>
      </c>
      <c r="I3" s="58" t="s">
        <v>12</v>
      </c>
    </row>
    <row r="4" customFormat="false" ht="15" hidden="false" customHeight="false" outlineLevel="0" collapsed="false">
      <c r="A4" s="4" t="s">
        <v>451</v>
      </c>
      <c r="B4" s="83" t="n">
        <v>45521</v>
      </c>
      <c r="C4" s="4" t="s">
        <v>242</v>
      </c>
      <c r="D4" s="43" t="s">
        <v>243</v>
      </c>
      <c r="E4" s="102" t="n">
        <v>164900</v>
      </c>
      <c r="F4" s="102" t="n">
        <v>82450</v>
      </c>
      <c r="G4" s="122" t="n">
        <v>82450</v>
      </c>
      <c r="H4" s="83" t="n">
        <v>45551</v>
      </c>
      <c r="I4" s="123" t="s">
        <v>637</v>
      </c>
    </row>
    <row r="5" customFormat="false" ht="15" hidden="false" customHeight="false" outlineLevel="0" collapsed="false">
      <c r="A5" s="61" t="s">
        <v>453</v>
      </c>
      <c r="B5" s="124" t="n">
        <v>45339</v>
      </c>
      <c r="C5" s="61" t="s">
        <v>326</v>
      </c>
      <c r="D5" s="125" t="s">
        <v>327</v>
      </c>
      <c r="E5" s="126" t="n">
        <v>313600</v>
      </c>
      <c r="F5" s="126" t="n">
        <v>219520</v>
      </c>
      <c r="G5" s="127" t="n">
        <v>94080</v>
      </c>
      <c r="H5" s="124" t="n">
        <v>45369</v>
      </c>
      <c r="I5" s="128" t="s">
        <v>637</v>
      </c>
    </row>
    <row r="6" customFormat="false" ht="15" hidden="false" customHeight="false" outlineLevel="0" collapsed="false">
      <c r="A6" s="4" t="s">
        <v>454</v>
      </c>
      <c r="B6" s="83" t="n">
        <v>45538</v>
      </c>
      <c r="C6" s="4" t="s">
        <v>244</v>
      </c>
      <c r="D6" s="43" t="s">
        <v>245</v>
      </c>
      <c r="E6" s="102" t="n">
        <v>112700</v>
      </c>
      <c r="F6" s="102" t="n">
        <v>0</v>
      </c>
      <c r="G6" s="122" t="n">
        <v>112700</v>
      </c>
      <c r="H6" s="83" t="n">
        <v>45568</v>
      </c>
      <c r="I6" s="123" t="s">
        <v>637</v>
      </c>
    </row>
    <row r="7" customFormat="false" ht="15" hidden="false" customHeight="false" outlineLevel="0" collapsed="false">
      <c r="A7" s="61" t="s">
        <v>455</v>
      </c>
      <c r="B7" s="124" t="n">
        <v>45491</v>
      </c>
      <c r="C7" s="61" t="s">
        <v>246</v>
      </c>
      <c r="D7" s="125" t="s">
        <v>247</v>
      </c>
      <c r="E7" s="126" t="n">
        <v>279300</v>
      </c>
      <c r="F7" s="126" t="n">
        <v>139650</v>
      </c>
      <c r="G7" s="127" t="n">
        <v>139650</v>
      </c>
      <c r="H7" s="124" t="n">
        <v>45521</v>
      </c>
      <c r="I7" s="128" t="s">
        <v>637</v>
      </c>
    </row>
    <row r="8" customFormat="false" ht="15" hidden="false" customHeight="false" outlineLevel="0" collapsed="false">
      <c r="A8" s="4" t="s">
        <v>457</v>
      </c>
      <c r="B8" s="83" t="n">
        <v>45452</v>
      </c>
      <c r="C8" s="4" t="s">
        <v>238</v>
      </c>
      <c r="D8" s="43" t="s">
        <v>239</v>
      </c>
      <c r="E8" s="102" t="n">
        <v>1140000</v>
      </c>
      <c r="F8" s="102" t="n">
        <v>0</v>
      </c>
      <c r="G8" s="122" t="n">
        <v>1140000</v>
      </c>
      <c r="H8" s="83" t="n">
        <v>45482</v>
      </c>
      <c r="I8" s="123" t="s">
        <v>637</v>
      </c>
    </row>
    <row r="9" customFormat="false" ht="15" hidden="false" customHeight="false" outlineLevel="0" collapsed="false">
      <c r="A9" s="61" t="s">
        <v>464</v>
      </c>
      <c r="B9" s="124" t="n">
        <v>45329</v>
      </c>
      <c r="C9" s="61" t="s">
        <v>296</v>
      </c>
      <c r="D9" s="125" t="s">
        <v>297</v>
      </c>
      <c r="E9" s="126" t="n">
        <v>480150</v>
      </c>
      <c r="F9" s="126" t="n">
        <v>144045</v>
      </c>
      <c r="G9" s="127" t="n">
        <v>336105</v>
      </c>
      <c r="H9" s="124" t="n">
        <v>45359</v>
      </c>
      <c r="I9" s="128" t="s">
        <v>637</v>
      </c>
    </row>
    <row r="10" customFormat="false" ht="15" hidden="false" customHeight="false" outlineLevel="0" collapsed="false">
      <c r="A10" s="4" t="s">
        <v>465</v>
      </c>
      <c r="B10" s="83" t="n">
        <v>45327</v>
      </c>
      <c r="C10" s="4" t="s">
        <v>326</v>
      </c>
      <c r="D10" s="43" t="s">
        <v>327</v>
      </c>
      <c r="E10" s="102" t="n">
        <v>267720</v>
      </c>
      <c r="F10" s="102" t="n">
        <v>187404</v>
      </c>
      <c r="G10" s="122" t="n">
        <v>80316</v>
      </c>
      <c r="H10" s="83" t="n">
        <v>45357</v>
      </c>
      <c r="I10" s="123" t="s">
        <v>637</v>
      </c>
    </row>
    <row r="11" customFormat="false" ht="15" hidden="false" customHeight="false" outlineLevel="0" collapsed="false">
      <c r="A11" s="61" t="s">
        <v>468</v>
      </c>
      <c r="B11" s="124" t="n">
        <v>45360</v>
      </c>
      <c r="C11" s="61" t="s">
        <v>246</v>
      </c>
      <c r="D11" s="125" t="s">
        <v>247</v>
      </c>
      <c r="E11" s="126" t="n">
        <v>112500</v>
      </c>
      <c r="F11" s="126" t="n">
        <v>33750</v>
      </c>
      <c r="G11" s="127" t="n">
        <v>78750</v>
      </c>
      <c r="H11" s="124" t="n">
        <v>45390</v>
      </c>
      <c r="I11" s="128" t="s">
        <v>637</v>
      </c>
    </row>
    <row r="12" customFormat="false" ht="15" hidden="false" customHeight="false" outlineLevel="0" collapsed="false">
      <c r="A12" s="4" t="s">
        <v>470</v>
      </c>
      <c r="B12" s="83" t="n">
        <v>45550</v>
      </c>
      <c r="C12" s="4" t="s">
        <v>252</v>
      </c>
      <c r="D12" s="43" t="s">
        <v>253</v>
      </c>
      <c r="E12" s="102" t="n">
        <v>88000</v>
      </c>
      <c r="F12" s="102" t="n">
        <v>26400</v>
      </c>
      <c r="G12" s="122" t="n">
        <v>61600</v>
      </c>
      <c r="H12" s="83" t="n">
        <v>45580</v>
      </c>
      <c r="I12" s="123" t="s">
        <v>637</v>
      </c>
    </row>
    <row r="13" customFormat="false" ht="15" hidden="false" customHeight="false" outlineLevel="0" collapsed="false">
      <c r="A13" s="61" t="s">
        <v>474</v>
      </c>
      <c r="B13" s="124" t="n">
        <v>45481</v>
      </c>
      <c r="C13" s="61" t="s">
        <v>301</v>
      </c>
      <c r="D13" s="125" t="s">
        <v>302</v>
      </c>
      <c r="E13" s="126" t="n">
        <v>49400</v>
      </c>
      <c r="F13" s="126" t="n">
        <v>0</v>
      </c>
      <c r="G13" s="127" t="n">
        <v>49400</v>
      </c>
      <c r="H13" s="124" t="n">
        <v>45511</v>
      </c>
      <c r="I13" s="128" t="s">
        <v>637</v>
      </c>
    </row>
    <row r="14" customFormat="false" ht="15" hidden="false" customHeight="false" outlineLevel="0" collapsed="false">
      <c r="A14" s="4" t="s">
        <v>475</v>
      </c>
      <c r="B14" s="83" t="n">
        <v>45449</v>
      </c>
      <c r="C14" s="4" t="s">
        <v>248</v>
      </c>
      <c r="D14" s="43" t="s">
        <v>249</v>
      </c>
      <c r="E14" s="102" t="n">
        <v>705600</v>
      </c>
      <c r="F14" s="102" t="n">
        <v>0</v>
      </c>
      <c r="G14" s="122" t="n">
        <v>705600</v>
      </c>
      <c r="H14" s="83" t="n">
        <v>45479</v>
      </c>
      <c r="I14" s="123" t="s">
        <v>637</v>
      </c>
    </row>
    <row r="15" customFormat="false" ht="15" hidden="false" customHeight="false" outlineLevel="0" collapsed="false">
      <c r="A15" s="61" t="s">
        <v>476</v>
      </c>
      <c r="B15" s="124" t="n">
        <v>45473</v>
      </c>
      <c r="C15" s="61" t="s">
        <v>316</v>
      </c>
      <c r="D15" s="125" t="s">
        <v>317</v>
      </c>
      <c r="E15" s="126" t="n">
        <v>96720</v>
      </c>
      <c r="F15" s="126" t="n">
        <v>48360</v>
      </c>
      <c r="G15" s="127" t="n">
        <v>48360</v>
      </c>
      <c r="H15" s="124" t="n">
        <v>45503</v>
      </c>
      <c r="I15" s="128" t="s">
        <v>637</v>
      </c>
    </row>
    <row r="16" customFormat="false" ht="15" hidden="false" customHeight="false" outlineLevel="0" collapsed="false">
      <c r="A16" s="4" t="s">
        <v>477</v>
      </c>
      <c r="B16" s="83" t="n">
        <v>45375</v>
      </c>
      <c r="C16" s="4" t="s">
        <v>316</v>
      </c>
      <c r="D16" s="43" t="s">
        <v>317</v>
      </c>
      <c r="E16" s="102" t="n">
        <v>232000</v>
      </c>
      <c r="F16" s="102" t="n">
        <v>69600</v>
      </c>
      <c r="G16" s="122" t="n">
        <v>162400</v>
      </c>
      <c r="H16" s="83" t="n">
        <v>45405</v>
      </c>
      <c r="I16" s="123" t="s">
        <v>637</v>
      </c>
    </row>
    <row r="17" customFormat="false" ht="15" hidden="false" customHeight="false" outlineLevel="0" collapsed="false">
      <c r="A17" s="61" t="s">
        <v>478</v>
      </c>
      <c r="B17" s="124" t="n">
        <v>45502</v>
      </c>
      <c r="C17" s="61" t="s">
        <v>316</v>
      </c>
      <c r="D17" s="125" t="s">
        <v>317</v>
      </c>
      <c r="E17" s="126" t="n">
        <v>40740</v>
      </c>
      <c r="F17" s="126" t="n">
        <v>0</v>
      </c>
      <c r="G17" s="127" t="n">
        <v>40740</v>
      </c>
      <c r="H17" s="124" t="n">
        <v>45532</v>
      </c>
      <c r="I17" s="128" t="s">
        <v>637</v>
      </c>
    </row>
    <row r="18" customFormat="false" ht="15" hidden="false" customHeight="false" outlineLevel="0" collapsed="false">
      <c r="A18" s="4" t="s">
        <v>479</v>
      </c>
      <c r="B18" s="83" t="n">
        <v>45487</v>
      </c>
      <c r="C18" s="4" t="s">
        <v>321</v>
      </c>
      <c r="D18" s="43" t="s">
        <v>322</v>
      </c>
      <c r="E18" s="102" t="n">
        <v>940800</v>
      </c>
      <c r="F18" s="102" t="n">
        <v>658560</v>
      </c>
      <c r="G18" s="122" t="n">
        <v>282240</v>
      </c>
      <c r="H18" s="83" t="n">
        <v>45517</v>
      </c>
      <c r="I18" s="123" t="s">
        <v>637</v>
      </c>
    </row>
    <row r="19" customFormat="false" ht="15" hidden="false" customHeight="false" outlineLevel="0" collapsed="false">
      <c r="A19" s="61" t="s">
        <v>480</v>
      </c>
      <c r="B19" s="124" t="n">
        <v>45471</v>
      </c>
      <c r="C19" s="61" t="s">
        <v>246</v>
      </c>
      <c r="D19" s="125" t="s">
        <v>247</v>
      </c>
      <c r="E19" s="126" t="n">
        <v>184000</v>
      </c>
      <c r="F19" s="126" t="n">
        <v>128800</v>
      </c>
      <c r="G19" s="127" t="n">
        <v>55200</v>
      </c>
      <c r="H19" s="124" t="n">
        <v>45501</v>
      </c>
      <c r="I19" s="128" t="s">
        <v>637</v>
      </c>
    </row>
    <row r="20" customFormat="false" ht="15" hidden="false" customHeight="false" outlineLevel="0" collapsed="false">
      <c r="A20" s="4" t="s">
        <v>484</v>
      </c>
      <c r="B20" s="83" t="n">
        <v>45515</v>
      </c>
      <c r="C20" s="4" t="s">
        <v>301</v>
      </c>
      <c r="D20" s="43" t="s">
        <v>302</v>
      </c>
      <c r="E20" s="102" t="n">
        <v>42750</v>
      </c>
      <c r="F20" s="102" t="n">
        <v>12825</v>
      </c>
      <c r="G20" s="122" t="n">
        <v>29925</v>
      </c>
      <c r="H20" s="83" t="n">
        <v>45545</v>
      </c>
      <c r="I20" s="123" t="s">
        <v>637</v>
      </c>
    </row>
    <row r="21" customFormat="false" ht="15" hidden="false" customHeight="false" outlineLevel="0" collapsed="false">
      <c r="A21" s="61" t="s">
        <v>485</v>
      </c>
      <c r="B21" s="124" t="n">
        <v>45314</v>
      </c>
      <c r="C21" s="61" t="s">
        <v>311</v>
      </c>
      <c r="D21" s="125" t="s">
        <v>312</v>
      </c>
      <c r="E21" s="126" t="n">
        <v>79050</v>
      </c>
      <c r="F21" s="126" t="n">
        <v>23715</v>
      </c>
      <c r="G21" s="127" t="n">
        <v>55335</v>
      </c>
      <c r="H21" s="124" t="n">
        <v>45344</v>
      </c>
      <c r="I21" s="128" t="s">
        <v>637</v>
      </c>
    </row>
    <row r="22" customFormat="false" ht="15" hidden="false" customHeight="false" outlineLevel="0" collapsed="false">
      <c r="A22" s="4" t="s">
        <v>489</v>
      </c>
      <c r="B22" s="83" t="n">
        <v>45575</v>
      </c>
      <c r="C22" s="4" t="s">
        <v>242</v>
      </c>
      <c r="D22" s="43" t="s">
        <v>243</v>
      </c>
      <c r="E22" s="102" t="n">
        <v>356400</v>
      </c>
      <c r="F22" s="102" t="n">
        <v>178200</v>
      </c>
      <c r="G22" s="122" t="n">
        <v>178200</v>
      </c>
      <c r="H22" s="83" t="n">
        <v>45605</v>
      </c>
      <c r="I22" s="123" t="s">
        <v>637</v>
      </c>
    </row>
    <row r="23" customFormat="false" ht="15" hidden="false" customHeight="false" outlineLevel="0" collapsed="false">
      <c r="A23" s="61" t="s">
        <v>492</v>
      </c>
      <c r="B23" s="124" t="n">
        <v>45530</v>
      </c>
      <c r="C23" s="61" t="s">
        <v>252</v>
      </c>
      <c r="D23" s="125" t="s">
        <v>253</v>
      </c>
      <c r="E23" s="126" t="n">
        <v>182280</v>
      </c>
      <c r="F23" s="126" t="n">
        <v>91140</v>
      </c>
      <c r="G23" s="127" t="n">
        <v>91140</v>
      </c>
      <c r="H23" s="124" t="n">
        <v>45560</v>
      </c>
      <c r="I23" s="128" t="s">
        <v>637</v>
      </c>
    </row>
    <row r="24" customFormat="false" ht="15" hidden="false" customHeight="false" outlineLevel="0" collapsed="false">
      <c r="A24" s="4" t="s">
        <v>497</v>
      </c>
      <c r="B24" s="83" t="n">
        <v>45391</v>
      </c>
      <c r="C24" s="4" t="s">
        <v>311</v>
      </c>
      <c r="D24" s="43" t="s">
        <v>312</v>
      </c>
      <c r="E24" s="102" t="n">
        <v>95000</v>
      </c>
      <c r="F24" s="102" t="n">
        <v>47500</v>
      </c>
      <c r="G24" s="122" t="n">
        <v>47500</v>
      </c>
      <c r="H24" s="83" t="n">
        <v>45421</v>
      </c>
      <c r="I24" s="123" t="s">
        <v>637</v>
      </c>
    </row>
    <row r="25" customFormat="false" ht="15" hidden="false" customHeight="false" outlineLevel="0" collapsed="false">
      <c r="A25" s="61" t="s">
        <v>498</v>
      </c>
      <c r="B25" s="124" t="n">
        <v>45367</v>
      </c>
      <c r="C25" s="61" t="s">
        <v>306</v>
      </c>
      <c r="D25" s="125" t="s">
        <v>307</v>
      </c>
      <c r="E25" s="126" t="n">
        <v>25000</v>
      </c>
      <c r="F25" s="126" t="n">
        <v>12500</v>
      </c>
      <c r="G25" s="127" t="n">
        <v>12500</v>
      </c>
      <c r="H25" s="124" t="n">
        <v>45397</v>
      </c>
      <c r="I25" s="128" t="s">
        <v>637</v>
      </c>
    </row>
    <row r="26" customFormat="false" ht="15" hidden="false" customHeight="false" outlineLevel="0" collapsed="false">
      <c r="A26" s="129" t="s">
        <v>638</v>
      </c>
      <c r="B26" s="129"/>
      <c r="C26" s="129"/>
      <c r="D26" s="129"/>
      <c r="E26" s="130" t="n">
        <f aca="false">SUM(E4:E25)</f>
        <v>5988610</v>
      </c>
      <c r="F26" s="130" t="n">
        <f aca="false">SUM(F4:F25)</f>
        <v>2104419</v>
      </c>
      <c r="G26" s="130" t="n">
        <f aca="false">SUM(G4:G25)</f>
        <v>3884191</v>
      </c>
    </row>
  </sheetData>
  <mergeCells count="3">
    <mergeCell ref="A1:I1"/>
    <mergeCell ref="A2:I2"/>
    <mergeCell ref="A26:D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25"/>
    <col collapsed="false" customWidth="true" hidden="false" outlineLevel="0" max="5" min="5" style="0" width="16"/>
    <col collapsed="false" customWidth="true" hidden="false" outlineLevel="0" max="7" min="6" style="0" width="14"/>
    <col collapsed="false" customWidth="true" hidden="false" outlineLevel="0" max="8" min="8" style="0" width="12"/>
  </cols>
  <sheetData>
    <row r="1" customFormat="false" ht="30" hidden="false" customHeight="true" outlineLevel="0" collapsed="false">
      <c r="A1" s="1" t="s">
        <v>639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640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12" t="s">
        <v>333</v>
      </c>
      <c r="B3" s="12" t="s">
        <v>334</v>
      </c>
      <c r="C3" s="12" t="s">
        <v>10</v>
      </c>
      <c r="D3" s="12" t="s">
        <v>134</v>
      </c>
      <c r="E3" s="12" t="s">
        <v>641</v>
      </c>
      <c r="F3" s="12" t="s">
        <v>448</v>
      </c>
      <c r="G3" s="12" t="s">
        <v>449</v>
      </c>
      <c r="H3" s="12" t="s">
        <v>12</v>
      </c>
    </row>
    <row r="4" customFormat="false" ht="15" hidden="false" customHeight="false" outlineLevel="0" collapsed="false">
      <c r="A4" s="4" t="s">
        <v>342</v>
      </c>
      <c r="B4" s="83" t="n">
        <v>45406</v>
      </c>
      <c r="C4" s="4" t="s">
        <v>28</v>
      </c>
      <c r="D4" s="43" t="s">
        <v>153</v>
      </c>
      <c r="E4" s="102" t="n">
        <v>24000</v>
      </c>
      <c r="F4" s="102" t="n">
        <v>24000</v>
      </c>
      <c r="G4" s="102" t="n">
        <v>0</v>
      </c>
      <c r="H4" s="7" t="s">
        <v>642</v>
      </c>
    </row>
    <row r="5" customFormat="false" ht="15" hidden="false" customHeight="false" outlineLevel="0" collapsed="false">
      <c r="A5" s="105" t="s">
        <v>348</v>
      </c>
      <c r="B5" s="131" t="n">
        <v>45393</v>
      </c>
      <c r="C5" s="105" t="s">
        <v>106</v>
      </c>
      <c r="D5" s="106" t="s">
        <v>190</v>
      </c>
      <c r="E5" s="110" t="n">
        <v>144000</v>
      </c>
      <c r="F5" s="110" t="n">
        <v>144000</v>
      </c>
      <c r="G5" s="110" t="n">
        <v>0</v>
      </c>
      <c r="H5" s="132" t="s">
        <v>642</v>
      </c>
    </row>
    <row r="6" customFormat="false" ht="15" hidden="false" customHeight="false" outlineLevel="0" collapsed="false">
      <c r="A6" s="4" t="s">
        <v>358</v>
      </c>
      <c r="B6" s="83" t="n">
        <v>45566</v>
      </c>
      <c r="C6" s="4" t="s">
        <v>23</v>
      </c>
      <c r="D6" s="43" t="s">
        <v>147</v>
      </c>
      <c r="E6" s="102" t="n">
        <v>176000</v>
      </c>
      <c r="F6" s="102" t="n">
        <v>176000</v>
      </c>
      <c r="G6" s="102" t="n">
        <v>0</v>
      </c>
      <c r="H6" s="7" t="s">
        <v>642</v>
      </c>
    </row>
    <row r="7" customFormat="false" ht="15" hidden="false" customHeight="false" outlineLevel="0" collapsed="false">
      <c r="A7" s="105" t="s">
        <v>368</v>
      </c>
      <c r="B7" s="131" t="n">
        <v>45399</v>
      </c>
      <c r="C7" s="105" t="s">
        <v>101</v>
      </c>
      <c r="D7" s="106" t="s">
        <v>186</v>
      </c>
      <c r="E7" s="110" t="n">
        <v>816000</v>
      </c>
      <c r="F7" s="110" t="n">
        <v>0</v>
      </c>
      <c r="G7" s="133" t="n">
        <v>816000</v>
      </c>
      <c r="H7" s="134" t="s">
        <v>643</v>
      </c>
    </row>
    <row r="8" customFormat="false" ht="15" hidden="false" customHeight="false" outlineLevel="0" collapsed="false">
      <c r="A8" s="4" t="s">
        <v>370</v>
      </c>
      <c r="B8" s="83" t="n">
        <v>45328</v>
      </c>
      <c r="C8" s="4" t="s">
        <v>95</v>
      </c>
      <c r="D8" s="43" t="s">
        <v>182</v>
      </c>
      <c r="E8" s="102" t="n">
        <v>36000</v>
      </c>
      <c r="F8" s="102" t="n">
        <v>0</v>
      </c>
      <c r="G8" s="122" t="n">
        <v>36000</v>
      </c>
      <c r="H8" s="123" t="s">
        <v>643</v>
      </c>
    </row>
    <row r="9" customFormat="false" ht="15" hidden="false" customHeight="false" outlineLevel="0" collapsed="false">
      <c r="A9" s="105" t="s">
        <v>372</v>
      </c>
      <c r="B9" s="131" t="n">
        <v>45375</v>
      </c>
      <c r="C9" s="105" t="s">
        <v>76</v>
      </c>
      <c r="D9" s="106" t="s">
        <v>174</v>
      </c>
      <c r="E9" s="110" t="n">
        <v>440000</v>
      </c>
      <c r="F9" s="110" t="n">
        <v>0</v>
      </c>
      <c r="G9" s="133" t="n">
        <v>440000</v>
      </c>
      <c r="H9" s="134" t="s">
        <v>643</v>
      </c>
    </row>
    <row r="10" customFormat="false" ht="15" hidden="false" customHeight="false" outlineLevel="0" collapsed="false">
      <c r="A10" s="4" t="s">
        <v>378</v>
      </c>
      <c r="B10" s="83" t="n">
        <v>45400</v>
      </c>
      <c r="C10" s="4" t="s">
        <v>130</v>
      </c>
      <c r="D10" s="43" t="s">
        <v>202</v>
      </c>
      <c r="E10" s="102" t="n">
        <v>82500</v>
      </c>
      <c r="F10" s="102" t="n">
        <v>82500</v>
      </c>
      <c r="G10" s="102" t="n">
        <v>0</v>
      </c>
      <c r="H10" s="7" t="s">
        <v>642</v>
      </c>
    </row>
    <row r="11" customFormat="false" ht="15" hidden="false" customHeight="false" outlineLevel="0" collapsed="false">
      <c r="A11" s="105" t="s">
        <v>380</v>
      </c>
      <c r="B11" s="131" t="n">
        <v>45400</v>
      </c>
      <c r="C11" s="105" t="s">
        <v>101</v>
      </c>
      <c r="D11" s="106" t="s">
        <v>186</v>
      </c>
      <c r="E11" s="110" t="n">
        <v>434000</v>
      </c>
      <c r="F11" s="110" t="n">
        <v>217000</v>
      </c>
      <c r="G11" s="133" t="n">
        <v>217000</v>
      </c>
      <c r="H11" s="134" t="s">
        <v>643</v>
      </c>
    </row>
    <row r="12" customFormat="false" ht="15" hidden="false" customHeight="false" outlineLevel="0" collapsed="false">
      <c r="A12" s="4" t="s">
        <v>382</v>
      </c>
      <c r="B12" s="83" t="n">
        <v>45365</v>
      </c>
      <c r="C12" s="4" t="s">
        <v>42</v>
      </c>
      <c r="D12" s="43" t="s">
        <v>162</v>
      </c>
      <c r="E12" s="102" t="n">
        <v>340000</v>
      </c>
      <c r="F12" s="102" t="n">
        <v>0</v>
      </c>
      <c r="G12" s="122" t="n">
        <v>340000</v>
      </c>
      <c r="H12" s="123" t="s">
        <v>643</v>
      </c>
    </row>
    <row r="13" customFormat="false" ht="15" hidden="false" customHeight="false" outlineLevel="0" collapsed="false">
      <c r="A13" s="105" t="s">
        <v>386</v>
      </c>
      <c r="B13" s="131" t="n">
        <v>45496</v>
      </c>
      <c r="C13" s="105" t="s">
        <v>48</v>
      </c>
      <c r="D13" s="106" t="s">
        <v>166</v>
      </c>
      <c r="E13" s="110" t="n">
        <v>216000</v>
      </c>
      <c r="F13" s="110" t="n">
        <v>0</v>
      </c>
      <c r="G13" s="133" t="n">
        <v>216000</v>
      </c>
      <c r="H13" s="134" t="s">
        <v>643</v>
      </c>
    </row>
    <row r="14" customFormat="false" ht="15" hidden="false" customHeight="false" outlineLevel="0" collapsed="false">
      <c r="A14" s="4" t="s">
        <v>390</v>
      </c>
      <c r="B14" s="83" t="n">
        <v>45613</v>
      </c>
      <c r="C14" s="4" t="s">
        <v>28</v>
      </c>
      <c r="D14" s="43" t="s">
        <v>153</v>
      </c>
      <c r="E14" s="102" t="n">
        <v>105000</v>
      </c>
      <c r="F14" s="102" t="n">
        <v>0</v>
      </c>
      <c r="G14" s="122" t="n">
        <v>105000</v>
      </c>
      <c r="H14" s="123" t="s">
        <v>643</v>
      </c>
    </row>
    <row r="15" customFormat="false" ht="15" hidden="false" customHeight="false" outlineLevel="0" collapsed="false">
      <c r="A15" s="105" t="s">
        <v>392</v>
      </c>
      <c r="B15" s="131" t="n">
        <v>45489</v>
      </c>
      <c r="C15" s="105" t="s">
        <v>57</v>
      </c>
      <c r="D15" s="106" t="s">
        <v>170</v>
      </c>
      <c r="E15" s="110" t="n">
        <v>60000</v>
      </c>
      <c r="F15" s="110" t="n">
        <v>60000</v>
      </c>
      <c r="G15" s="110" t="n">
        <v>0</v>
      </c>
      <c r="H15" s="132" t="s">
        <v>642</v>
      </c>
    </row>
    <row r="16" customFormat="false" ht="15" hidden="false" customHeight="false" outlineLevel="0" collapsed="false">
      <c r="A16" s="4" t="s">
        <v>394</v>
      </c>
      <c r="B16" s="83" t="n">
        <v>45575</v>
      </c>
      <c r="C16" s="4" t="s">
        <v>124</v>
      </c>
      <c r="D16" s="43" t="s">
        <v>198</v>
      </c>
      <c r="E16" s="102" t="n">
        <v>935000</v>
      </c>
      <c r="F16" s="102" t="n">
        <v>467500</v>
      </c>
      <c r="G16" s="122" t="n">
        <v>467500</v>
      </c>
      <c r="H16" s="123" t="s">
        <v>643</v>
      </c>
    </row>
    <row r="17" customFormat="false" ht="15" hidden="false" customHeight="false" outlineLevel="0" collapsed="false">
      <c r="A17" s="105" t="s">
        <v>400</v>
      </c>
      <c r="B17" s="131" t="n">
        <v>45293</v>
      </c>
      <c r="C17" s="105" t="s">
        <v>106</v>
      </c>
      <c r="D17" s="106" t="s">
        <v>190</v>
      </c>
      <c r="E17" s="110" t="n">
        <v>60000</v>
      </c>
      <c r="F17" s="110" t="n">
        <v>60000</v>
      </c>
      <c r="G17" s="110" t="n">
        <v>0</v>
      </c>
      <c r="H17" s="132" t="s">
        <v>642</v>
      </c>
    </row>
    <row r="18" customFormat="false" ht="15" hidden="false" customHeight="false" outlineLevel="0" collapsed="false">
      <c r="A18" s="4" t="s">
        <v>402</v>
      </c>
      <c r="B18" s="83" t="n">
        <v>45551</v>
      </c>
      <c r="C18" s="4" t="s">
        <v>130</v>
      </c>
      <c r="D18" s="43" t="s">
        <v>202</v>
      </c>
      <c r="E18" s="102" t="n">
        <v>1330000</v>
      </c>
      <c r="F18" s="102" t="n">
        <v>1330000</v>
      </c>
      <c r="G18" s="102" t="n">
        <v>0</v>
      </c>
      <c r="H18" s="7" t="s">
        <v>642</v>
      </c>
    </row>
    <row r="19" customFormat="false" ht="15" hidden="false" customHeight="false" outlineLevel="0" collapsed="false">
      <c r="A19" s="105" t="s">
        <v>406</v>
      </c>
      <c r="B19" s="131" t="n">
        <v>45374</v>
      </c>
      <c r="C19" s="105" t="s">
        <v>82</v>
      </c>
      <c r="D19" s="106" t="s">
        <v>178</v>
      </c>
      <c r="E19" s="110" t="n">
        <v>1875000</v>
      </c>
      <c r="F19" s="110" t="n">
        <v>1875000</v>
      </c>
      <c r="G19" s="110" t="n">
        <v>0</v>
      </c>
      <c r="H19" s="132" t="s">
        <v>642</v>
      </c>
    </row>
    <row r="20" customFormat="false" ht="15" hidden="false" customHeight="false" outlineLevel="0" collapsed="false">
      <c r="A20" s="4" t="s">
        <v>410</v>
      </c>
      <c r="B20" s="83" t="n">
        <v>45449</v>
      </c>
      <c r="C20" s="4" t="s">
        <v>37</v>
      </c>
      <c r="D20" s="43" t="s">
        <v>157</v>
      </c>
      <c r="E20" s="102" t="n">
        <v>780000</v>
      </c>
      <c r="F20" s="102" t="n">
        <v>0</v>
      </c>
      <c r="G20" s="122" t="n">
        <v>780000</v>
      </c>
      <c r="H20" s="123" t="s">
        <v>643</v>
      </c>
    </row>
    <row r="21" customFormat="false" ht="15" hidden="false" customHeight="false" outlineLevel="0" collapsed="false">
      <c r="A21" s="105" t="s">
        <v>414</v>
      </c>
      <c r="B21" s="131" t="n">
        <v>45356</v>
      </c>
      <c r="C21" s="105" t="s">
        <v>28</v>
      </c>
      <c r="D21" s="106" t="s">
        <v>153</v>
      </c>
      <c r="E21" s="110" t="n">
        <v>120000</v>
      </c>
      <c r="F21" s="110" t="n">
        <v>120000</v>
      </c>
      <c r="G21" s="110" t="n">
        <v>0</v>
      </c>
      <c r="H21" s="132" t="s">
        <v>642</v>
      </c>
    </row>
    <row r="22" customFormat="false" ht="15" hidden="false" customHeight="false" outlineLevel="0" collapsed="false">
      <c r="A22" s="4" t="s">
        <v>420</v>
      </c>
      <c r="B22" s="83" t="n">
        <v>45624</v>
      </c>
      <c r="C22" s="4" t="s">
        <v>48</v>
      </c>
      <c r="D22" s="43" t="s">
        <v>166</v>
      </c>
      <c r="E22" s="102" t="n">
        <v>1125000</v>
      </c>
      <c r="F22" s="102" t="n">
        <v>562500</v>
      </c>
      <c r="G22" s="122" t="n">
        <v>562500</v>
      </c>
      <c r="H22" s="123" t="s">
        <v>643</v>
      </c>
    </row>
    <row r="23" customFormat="false" ht="15" hidden="false" customHeight="false" outlineLevel="0" collapsed="false">
      <c r="A23" s="105" t="s">
        <v>428</v>
      </c>
      <c r="B23" s="131" t="n">
        <v>45308</v>
      </c>
      <c r="C23" s="105" t="s">
        <v>124</v>
      </c>
      <c r="D23" s="106" t="s">
        <v>198</v>
      </c>
      <c r="E23" s="110" t="n">
        <v>190000</v>
      </c>
      <c r="F23" s="110" t="n">
        <v>95000</v>
      </c>
      <c r="G23" s="133" t="n">
        <v>95000</v>
      </c>
      <c r="H23" s="134" t="s">
        <v>643</v>
      </c>
    </row>
    <row r="24" customFormat="false" ht="15" hidden="false" customHeight="false" outlineLevel="0" collapsed="false">
      <c r="A24" s="4" t="s">
        <v>430</v>
      </c>
      <c r="B24" s="83" t="n">
        <v>45434</v>
      </c>
      <c r="C24" s="4" t="s">
        <v>101</v>
      </c>
      <c r="D24" s="43" t="s">
        <v>186</v>
      </c>
      <c r="E24" s="102" t="n">
        <v>248000</v>
      </c>
      <c r="F24" s="102" t="n">
        <v>124000</v>
      </c>
      <c r="G24" s="122" t="n">
        <v>124000</v>
      </c>
      <c r="H24" s="123" t="s">
        <v>643</v>
      </c>
    </row>
    <row r="25" customFormat="false" ht="15" hidden="false" customHeight="false" outlineLevel="0" collapsed="false">
      <c r="A25" s="105" t="s">
        <v>436</v>
      </c>
      <c r="B25" s="131" t="n">
        <v>45508</v>
      </c>
      <c r="C25" s="105" t="s">
        <v>57</v>
      </c>
      <c r="D25" s="106" t="s">
        <v>170</v>
      </c>
      <c r="E25" s="110" t="n">
        <v>1050000</v>
      </c>
      <c r="F25" s="110" t="n">
        <v>525000</v>
      </c>
      <c r="G25" s="133" t="n">
        <v>525000</v>
      </c>
      <c r="H25" s="134" t="s">
        <v>643</v>
      </c>
    </row>
    <row r="26" customFormat="false" ht="15" hidden="false" customHeight="false" outlineLevel="0" collapsed="false">
      <c r="A26" s="113" t="s">
        <v>644</v>
      </c>
      <c r="B26" s="113"/>
      <c r="C26" s="113"/>
      <c r="D26" s="113"/>
      <c r="E26" s="135" t="n">
        <f aca="false">SUM(E4:E25)</f>
        <v>10586500</v>
      </c>
      <c r="F26" s="135" t="n">
        <f aca="false">SUM(F4:F25)</f>
        <v>5862500</v>
      </c>
      <c r="G26" s="135" t="n">
        <f aca="false">SUM(G4:G25)</f>
        <v>4724000</v>
      </c>
    </row>
  </sheetData>
  <mergeCells count="3">
    <mergeCell ref="A1:H1"/>
    <mergeCell ref="A2:H2"/>
    <mergeCell ref="A26:D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5"/>
    <col collapsed="false" customWidth="true" hidden="false" outlineLevel="0" max="3" min="3" style="0" width="20"/>
    <col collapsed="false" customWidth="true" hidden="false" outlineLevel="0" max="4" min="4" style="0" width="8"/>
  </cols>
  <sheetData>
    <row r="1" customFormat="false" ht="30" hidden="false" customHeight="true" outlineLevel="0" collapsed="false">
      <c r="A1" s="1" t="s">
        <v>645</v>
      </c>
      <c r="B1" s="1"/>
      <c r="C1" s="1"/>
      <c r="D1" s="1"/>
    </row>
    <row r="2" customFormat="false" ht="21.75" hidden="false" customHeight="true" outlineLevel="0" collapsed="false">
      <c r="A2" s="2" t="s">
        <v>646</v>
      </c>
      <c r="B2" s="2"/>
      <c r="C2" s="2"/>
      <c r="D2" s="2"/>
    </row>
    <row r="3" customFormat="false" ht="19.5" hidden="false" customHeight="true" outlineLevel="0" collapsed="false"/>
    <row r="4" customFormat="false" ht="15" hidden="false" customHeight="false" outlineLevel="0" collapsed="false">
      <c r="A4" s="89" t="s">
        <v>647</v>
      </c>
      <c r="B4" s="89"/>
      <c r="C4" s="89" t="s">
        <v>648</v>
      </c>
      <c r="D4" s="89" t="s">
        <v>649</v>
      </c>
    </row>
    <row r="5" customFormat="false" ht="21.75" hidden="false" customHeight="true" outlineLevel="0" collapsed="false">
      <c r="A5" s="8" t="s">
        <v>650</v>
      </c>
      <c r="B5" s="8"/>
      <c r="C5" s="136" t="n">
        <f aca="false">SUM(Sales!K4:K53)</f>
        <v>13689270</v>
      </c>
      <c r="D5" s="137" t="s">
        <v>651</v>
      </c>
    </row>
    <row r="6" customFormat="false" ht="21.75" hidden="false" customHeight="true" outlineLevel="0" collapsed="false">
      <c r="A6" s="8" t="s">
        <v>652</v>
      </c>
      <c r="B6" s="8"/>
      <c r="C6" s="136" t="n">
        <f aca="false">SUMIF(Sales!L4:L53,"Cash",Sales!K4:K53)</f>
        <v>2947860</v>
      </c>
      <c r="D6" s="137" t="s">
        <v>651</v>
      </c>
    </row>
    <row r="7" customFormat="false" ht="21.75" hidden="false" customHeight="true" outlineLevel="0" collapsed="false">
      <c r="A7" s="8" t="s">
        <v>653</v>
      </c>
      <c r="B7" s="8"/>
      <c r="C7" s="136" t="n">
        <f aca="false">SUMIF(Sales!L4:L53,"Credit",Sales!K4:K53)</f>
        <v>4984430</v>
      </c>
      <c r="D7" s="137" t="s">
        <v>651</v>
      </c>
    </row>
    <row r="8" customFormat="false" ht="21.75" hidden="false" customHeight="true" outlineLevel="0" collapsed="false">
      <c r="A8" s="8" t="s">
        <v>654</v>
      </c>
      <c r="B8" s="8"/>
      <c r="C8" s="136" t="n">
        <f aca="false">SUMIF(Sales!L4:L53,"Bank Transfer",Sales!K4:K53)</f>
        <v>3557400</v>
      </c>
      <c r="D8" s="137" t="s">
        <v>651</v>
      </c>
    </row>
    <row r="9" customFormat="false" ht="7.5" hidden="false" customHeight="true" outlineLevel="0" collapsed="false"/>
    <row r="10" customFormat="false" ht="15" hidden="false" customHeight="false" outlineLevel="0" collapsed="false">
      <c r="A10" s="42" t="s">
        <v>655</v>
      </c>
      <c r="B10" s="42"/>
      <c r="C10" s="42"/>
      <c r="D10" s="42"/>
    </row>
    <row r="11" customFormat="false" ht="21.75" hidden="false" customHeight="true" outlineLevel="0" collapsed="false">
      <c r="A11" s="8" t="s">
        <v>656</v>
      </c>
      <c r="B11" s="8"/>
      <c r="C11" s="136" t="n">
        <f aca="false">SUM(Purchases!I4:I53)</f>
        <v>26453500</v>
      </c>
      <c r="D11" s="137" t="s">
        <v>651</v>
      </c>
    </row>
    <row r="12" customFormat="false" ht="21.75" hidden="false" customHeight="true" outlineLevel="0" collapsed="false">
      <c r="A12" s="8" t="s">
        <v>657</v>
      </c>
      <c r="B12" s="8"/>
      <c r="C12" s="136" t="n">
        <f aca="false">SUMPRODUCT(Inventory!D4:D28,Inventory!J4:J28)</f>
        <v>30405000</v>
      </c>
      <c r="D12" s="137" t="s">
        <v>651</v>
      </c>
    </row>
    <row r="13" customFormat="false" ht="21.75" hidden="false" customHeight="true" outlineLevel="0" collapsed="false">
      <c r="A13" s="8" t="s">
        <v>658</v>
      </c>
      <c r="B13" s="8"/>
      <c r="C13" s="136" t="n">
        <f aca="false">SUM(Inventory!K4:K28)</f>
        <v>45410500</v>
      </c>
      <c r="D13" s="137" t="s">
        <v>651</v>
      </c>
    </row>
    <row r="14" customFormat="false" ht="21.75" hidden="false" customHeight="true" outlineLevel="0" collapsed="false">
      <c r="A14" s="138" t="s">
        <v>659</v>
      </c>
      <c r="B14" s="138"/>
      <c r="C14" s="139" t="n">
        <f aca="false">C11+C12-C13</f>
        <v>11448000</v>
      </c>
      <c r="D14" s="140" t="s">
        <v>651</v>
      </c>
    </row>
    <row r="15" customFormat="false" ht="7.5" hidden="false" customHeight="true" outlineLevel="0" collapsed="false"/>
    <row r="16" customFormat="false" ht="27.75" hidden="false" customHeight="true" outlineLevel="0" collapsed="false">
      <c r="A16" s="82" t="s">
        <v>660</v>
      </c>
      <c r="B16" s="82"/>
      <c r="C16" s="141" t="n">
        <f aca="false">C5-C14</f>
        <v>2241270</v>
      </c>
      <c r="D16" s="82"/>
    </row>
    <row r="17" customFormat="false" ht="21.75" hidden="false" customHeight="true" outlineLevel="0" collapsed="false">
      <c r="A17" s="8" t="s">
        <v>661</v>
      </c>
      <c r="B17" s="8"/>
      <c r="C17" s="142" t="n">
        <f aca="false">C16/C5</f>
        <v>0.163724581369204</v>
      </c>
      <c r="D17" s="137" t="s">
        <v>651</v>
      </c>
    </row>
    <row r="18" customFormat="false" ht="7.5" hidden="false" customHeight="true" outlineLevel="0" collapsed="false"/>
    <row r="19" customFormat="false" ht="15" hidden="false" customHeight="false" outlineLevel="0" collapsed="false">
      <c r="A19" s="115" t="s">
        <v>662</v>
      </c>
      <c r="B19" s="115"/>
      <c r="C19" s="115"/>
      <c r="D19" s="115"/>
    </row>
    <row r="20" customFormat="false" ht="21.75" hidden="false" customHeight="true" outlineLevel="0" collapsed="false">
      <c r="A20" s="8" t="s">
        <v>663</v>
      </c>
      <c r="B20" s="8"/>
      <c r="C20" s="136" t="n">
        <f aca="false">SUMIF(Expenses!C4:C53,"Rent",Expenses!E4:E53)</f>
        <v>640000</v>
      </c>
      <c r="D20" s="137" t="s">
        <v>651</v>
      </c>
    </row>
    <row r="21" customFormat="false" ht="21.75" hidden="false" customHeight="true" outlineLevel="0" collapsed="false">
      <c r="A21" s="8" t="s">
        <v>664</v>
      </c>
      <c r="B21" s="8"/>
      <c r="C21" s="136" t="n">
        <f aca="false">SUMIF(Expenses!C4:C53,"Salaries",Expenses!E4:E53)</f>
        <v>1050485</v>
      </c>
      <c r="D21" s="137" t="s">
        <v>651</v>
      </c>
    </row>
    <row r="22" customFormat="false" ht="21.75" hidden="false" customHeight="true" outlineLevel="0" collapsed="false">
      <c r="A22" s="8" t="s">
        <v>665</v>
      </c>
      <c r="B22" s="8"/>
      <c r="C22" s="136" t="n">
        <f aca="false">SUMIF(Expenses!C4:C53,"Utilities",Expenses!E4:E53)</f>
        <v>105248</v>
      </c>
      <c r="D22" s="137" t="s">
        <v>651</v>
      </c>
    </row>
    <row r="23" customFormat="false" ht="21.75" hidden="false" customHeight="true" outlineLevel="0" collapsed="false">
      <c r="A23" s="8" t="s">
        <v>666</v>
      </c>
      <c r="B23" s="8"/>
      <c r="C23" s="136" t="n">
        <f aca="false">SUMIF(Expenses!C4:C53,"Marketing",Expenses!E4:E53)</f>
        <v>192623</v>
      </c>
      <c r="D23" s="137" t="s">
        <v>651</v>
      </c>
    </row>
    <row r="24" customFormat="false" ht="21.75" hidden="false" customHeight="true" outlineLevel="0" collapsed="false">
      <c r="A24" s="8" t="s">
        <v>667</v>
      </c>
      <c r="B24" s="8"/>
      <c r="C24" s="136" t="n">
        <f aca="false">SUMIF(Expenses!C4:C53,"Logistics",Expenses!E4:E53)</f>
        <v>107514</v>
      </c>
      <c r="D24" s="137" t="s">
        <v>651</v>
      </c>
    </row>
    <row r="25" customFormat="false" ht="21.75" hidden="false" customHeight="true" outlineLevel="0" collapsed="false">
      <c r="A25" s="8" t="s">
        <v>668</v>
      </c>
      <c r="B25" s="8"/>
      <c r="C25" s="136" t="n">
        <f aca="false">SUMIF(Expenses!C4:C53,"Repairs &amp; Maintenance",Expenses!E4:E53)</f>
        <v>43666</v>
      </c>
      <c r="D25" s="137" t="s">
        <v>651</v>
      </c>
    </row>
    <row r="26" customFormat="false" ht="21.75" hidden="false" customHeight="true" outlineLevel="0" collapsed="false">
      <c r="A26" s="8" t="s">
        <v>669</v>
      </c>
      <c r="B26" s="8"/>
      <c r="C26" s="136" t="n">
        <f aca="false">SUMIF(Expenses!C4:C53,"Miscellaneous",Expenses!E4:E53)</f>
        <v>38291</v>
      </c>
      <c r="D26" s="137" t="s">
        <v>651</v>
      </c>
    </row>
    <row r="27" customFormat="false" ht="21.75" hidden="false" customHeight="true" outlineLevel="0" collapsed="false">
      <c r="A27" s="8" t="s">
        <v>670</v>
      </c>
      <c r="B27" s="8"/>
      <c r="C27" s="136" t="n">
        <f aca="false">SUMIF(Expenses!C4:C53,"Office Supplies",Expenses!E4:E53)</f>
        <v>10453</v>
      </c>
      <c r="D27" s="137" t="s">
        <v>651</v>
      </c>
    </row>
    <row r="28" customFormat="false" ht="21.75" hidden="false" customHeight="true" outlineLevel="0" collapsed="false">
      <c r="A28" s="138" t="s">
        <v>671</v>
      </c>
      <c r="B28" s="138"/>
      <c r="C28" s="139" t="n">
        <f aca="false">SUM(C20:C27)</f>
        <v>2188280</v>
      </c>
      <c r="D28" s="140" t="s">
        <v>651</v>
      </c>
    </row>
    <row r="29" customFormat="false" ht="7.5" hidden="false" customHeight="true" outlineLevel="0" collapsed="false"/>
    <row r="30" customFormat="false" ht="31.5" hidden="false" customHeight="true" outlineLevel="0" collapsed="false">
      <c r="A30" s="143" t="s">
        <v>266</v>
      </c>
      <c r="B30" s="143"/>
      <c r="C30" s="144" t="n">
        <f aca="false">C16-C28</f>
        <v>52990</v>
      </c>
      <c r="D30" s="143"/>
    </row>
    <row r="31" customFormat="false" ht="21.75" hidden="false" customHeight="true" outlineLevel="0" collapsed="false">
      <c r="A31" s="8" t="s">
        <v>672</v>
      </c>
      <c r="B31" s="8"/>
      <c r="C31" s="142" t="n">
        <f aca="false">C30/C5</f>
        <v>0.0038709149574813</v>
      </c>
      <c r="D31" s="137" t="s">
        <v>651</v>
      </c>
    </row>
    <row r="32" customFormat="false" ht="7.5" hidden="false" customHeight="true" outlineLevel="0" collapsed="false"/>
    <row r="33" customFormat="false" ht="15" hidden="false" customHeight="false" outlineLevel="0" collapsed="false">
      <c r="A33" s="3" t="s">
        <v>673</v>
      </c>
      <c r="B33" s="3"/>
      <c r="C33" s="3"/>
      <c r="D33" s="3"/>
    </row>
    <row r="34" customFormat="false" ht="21.75" hidden="false" customHeight="true" outlineLevel="0" collapsed="false">
      <c r="A34" s="8" t="s">
        <v>674</v>
      </c>
      <c r="B34" s="8"/>
      <c r="C34" s="136" t="n">
        <f aca="false">SUM(Receivables!G4:G25)</f>
        <v>3884191</v>
      </c>
      <c r="D34" s="137" t="s">
        <v>651</v>
      </c>
    </row>
    <row r="35" customFormat="false" ht="21.75" hidden="false" customHeight="true" outlineLevel="0" collapsed="false">
      <c r="A35" s="8" t="s">
        <v>675</v>
      </c>
      <c r="B35" s="8"/>
      <c r="C35" s="136" t="n">
        <f aca="false">SUM(Payables!G4:G25)</f>
        <v>4724000</v>
      </c>
      <c r="D35" s="137" t="s">
        <v>651</v>
      </c>
    </row>
    <row r="36" customFormat="false" ht="21.75" hidden="false" customHeight="true" outlineLevel="0" collapsed="false">
      <c r="A36" s="138" t="s">
        <v>676</v>
      </c>
      <c r="B36" s="138"/>
      <c r="C36" s="139" t="n">
        <f aca="false">C34-C35</f>
        <v>-839809</v>
      </c>
      <c r="D36" s="140" t="s">
        <v>651</v>
      </c>
    </row>
  </sheetData>
  <mergeCells count="30">
    <mergeCell ref="A1:D1"/>
    <mergeCell ref="A2:D2"/>
    <mergeCell ref="A4:B4"/>
    <mergeCell ref="A5:B5"/>
    <mergeCell ref="A6:B6"/>
    <mergeCell ref="A7:B7"/>
    <mergeCell ref="A8:B8"/>
    <mergeCell ref="A10:B10"/>
    <mergeCell ref="A11:B11"/>
    <mergeCell ref="A12:B12"/>
    <mergeCell ref="A13:B13"/>
    <mergeCell ref="A14:B14"/>
    <mergeCell ref="A16:B16"/>
    <mergeCell ref="A17:B17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30:B30"/>
    <mergeCell ref="A31:B31"/>
    <mergeCell ref="A33:B33"/>
    <mergeCell ref="A34:B34"/>
    <mergeCell ref="A35:B35"/>
    <mergeCell ref="A36:B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2026-02-19T09:04:51Z</dcterms:created>
  <dc:creator>openpyxl</dc:creator>
  <dc:description/>
  <dc:language>en-US</dc:language>
  <cp:lastModifiedBy/>
  <dcterms:modified xsi:type="dcterms:W3CDTF">2026-02-19T09:04:51Z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