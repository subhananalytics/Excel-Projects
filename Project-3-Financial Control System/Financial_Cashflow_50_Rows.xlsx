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28bc82f3e7463da/"/>
    </mc:Choice>
  </mc:AlternateContent>
  <xr:revisionPtr revIDLastSave="270" documentId="11_60A336053BF0A60FFDC307A4691AC3F6F6CE45B5" xr6:coauthVersionLast="47" xr6:coauthVersionMax="47" xr10:uidLastSave="{765A5235-E58C-4E01-86EE-112E893FB665}"/>
  <bookViews>
    <workbookView xWindow="-120" yWindow="-120" windowWidth="19440" windowHeight="15000" activeTab="5" xr2:uid="{00000000-000D-0000-FFFF-FFFF00000000}"/>
  </bookViews>
  <sheets>
    <sheet name="Settings" sheetId="5" r:id="rId1"/>
    <sheet name="Income_DB" sheetId="1" r:id="rId2"/>
    <sheet name="Expense_DB" sheetId="2" r:id="rId3"/>
    <sheet name="Cash_Flow" sheetId="3" r:id="rId4"/>
    <sheet name="Monthly_Summary" sheetId="4" r:id="rId5"/>
    <sheet name="Dashboard" sheetId="6" r:id="rId6"/>
  </sheets>
  <calcPr calcId="191028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B7" i="4"/>
  <c r="B3" i="4"/>
  <c r="B2" i="4"/>
  <c r="C3" i="3"/>
  <c r="C4" i="3"/>
  <c r="C5" i="3"/>
  <c r="C6" i="3"/>
  <c r="C7" i="3"/>
  <c r="C8" i="3"/>
  <c r="C9" i="3"/>
  <c r="C10" i="3"/>
  <c r="C11" i="3"/>
  <c r="C12" i="3"/>
  <c r="C13" i="3"/>
  <c r="C2" i="3"/>
  <c r="B3" i="3"/>
  <c r="B4" i="3"/>
  <c r="B5" i="3"/>
  <c r="B6" i="3"/>
  <c r="B7" i="3"/>
  <c r="B8" i="3"/>
  <c r="D8" i="3" s="1"/>
  <c r="B9" i="3"/>
  <c r="D9" i="3" s="1"/>
  <c r="B10" i="3"/>
  <c r="D10" i="3" s="1"/>
  <c r="B11" i="3"/>
  <c r="D11" i="3" s="1"/>
  <c r="B12" i="3"/>
  <c r="D12" i="3" s="1"/>
  <c r="B13" i="3"/>
  <c r="D13" i="3" s="1"/>
  <c r="A2" i="3"/>
  <c r="A3" i="3"/>
  <c r="A4" i="3"/>
  <c r="A5" i="3"/>
  <c r="A6" i="3"/>
  <c r="A7" i="3"/>
  <c r="A8" i="3"/>
  <c r="A9" i="3"/>
  <c r="A10" i="3"/>
  <c r="A11" i="3"/>
  <c r="A12" i="3"/>
  <c r="A13" i="3"/>
  <c r="B2" i="3"/>
  <c r="B6" i="4" l="1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B4" i="4"/>
  <c r="B5" i="4" s="1"/>
</calcChain>
</file>

<file path=xl/sharedStrings.xml><?xml version="1.0" encoding="utf-8"?>
<sst xmlns="http://schemas.openxmlformats.org/spreadsheetml/2006/main" count="535" uniqueCount="147">
  <si>
    <t>Opening Cash Balance</t>
  </si>
  <si>
    <t>Income_ID</t>
  </si>
  <si>
    <t>Date</t>
  </si>
  <si>
    <t>Source</t>
  </si>
  <si>
    <t>Category</t>
  </si>
  <si>
    <t>Description</t>
  </si>
  <si>
    <t>Amount</t>
  </si>
  <si>
    <t>Payment_Mode</t>
  </si>
  <si>
    <t>INC001</t>
  </si>
  <si>
    <t>Online Store</t>
  </si>
  <si>
    <t>Consulting</t>
  </si>
  <si>
    <t>Business income</t>
  </si>
  <si>
    <t>Cash</t>
  </si>
  <si>
    <t>INC002</t>
  </si>
  <si>
    <t>Client C</t>
  </si>
  <si>
    <t>Subscription</t>
  </si>
  <si>
    <t>Card</t>
  </si>
  <si>
    <t>INC003</t>
  </si>
  <si>
    <t>INC004</t>
  </si>
  <si>
    <t>Client A</t>
  </si>
  <si>
    <t>INC005</t>
  </si>
  <si>
    <t>Bank</t>
  </si>
  <si>
    <t>INC006</t>
  </si>
  <si>
    <t>Services</t>
  </si>
  <si>
    <t>INC007</t>
  </si>
  <si>
    <t>Sales</t>
  </si>
  <si>
    <t>INC008</t>
  </si>
  <si>
    <t>INC009</t>
  </si>
  <si>
    <t>Client B</t>
  </si>
  <si>
    <t>INC010</t>
  </si>
  <si>
    <t>INC011</t>
  </si>
  <si>
    <t>Corporate Client</t>
  </si>
  <si>
    <t>INC012</t>
  </si>
  <si>
    <t>INC013</t>
  </si>
  <si>
    <t>INC014</t>
  </si>
  <si>
    <t>INC015</t>
  </si>
  <si>
    <t>INC016</t>
  </si>
  <si>
    <t>INC017</t>
  </si>
  <si>
    <t>INC018</t>
  </si>
  <si>
    <t>INC019</t>
  </si>
  <si>
    <t>INC020</t>
  </si>
  <si>
    <t>INC021</t>
  </si>
  <si>
    <t>INC022</t>
  </si>
  <si>
    <t>INC023</t>
  </si>
  <si>
    <t>INC024</t>
  </si>
  <si>
    <t>INC025</t>
  </si>
  <si>
    <t>INC026</t>
  </si>
  <si>
    <t>INC027</t>
  </si>
  <si>
    <t>INC028</t>
  </si>
  <si>
    <t>INC029</t>
  </si>
  <si>
    <t>INC030</t>
  </si>
  <si>
    <t>INC031</t>
  </si>
  <si>
    <t>INC032</t>
  </si>
  <si>
    <t>INC033</t>
  </si>
  <si>
    <t>INC034</t>
  </si>
  <si>
    <t>INC035</t>
  </si>
  <si>
    <t>INC036</t>
  </si>
  <si>
    <t>INC037</t>
  </si>
  <si>
    <t>INC038</t>
  </si>
  <si>
    <t>INC039</t>
  </si>
  <si>
    <t>INC040</t>
  </si>
  <si>
    <t>INC041</t>
  </si>
  <si>
    <t>INC042</t>
  </si>
  <si>
    <t>INC043</t>
  </si>
  <si>
    <t>INC044</t>
  </si>
  <si>
    <t>INC045</t>
  </si>
  <si>
    <t>INC046</t>
  </si>
  <si>
    <t>INC047</t>
  </si>
  <si>
    <t>INC048</t>
  </si>
  <si>
    <t>INC049</t>
  </si>
  <si>
    <t>INC050</t>
  </si>
  <si>
    <t>Expense_ID</t>
  </si>
  <si>
    <t>Vendor</t>
  </si>
  <si>
    <t>EXP001</t>
  </si>
  <si>
    <t>Facebook Ads</t>
  </si>
  <si>
    <t>Salaries</t>
  </si>
  <si>
    <t>Business expense</t>
  </si>
  <si>
    <t>EXP002</t>
  </si>
  <si>
    <t>Electricity Dept</t>
  </si>
  <si>
    <t>Marketing</t>
  </si>
  <si>
    <t>EXP003</t>
  </si>
  <si>
    <t>EXP004</t>
  </si>
  <si>
    <t>Utilities</t>
  </si>
  <si>
    <t>EXP005</t>
  </si>
  <si>
    <t>Software Tools</t>
  </si>
  <si>
    <t>EXP006</t>
  </si>
  <si>
    <t>Internet Co</t>
  </si>
  <si>
    <t>Rent</t>
  </si>
  <si>
    <t>EXP007</t>
  </si>
  <si>
    <t>EXP008</t>
  </si>
  <si>
    <t>EXP009</t>
  </si>
  <si>
    <t>EXP010</t>
  </si>
  <si>
    <t>EXP011</t>
  </si>
  <si>
    <t>EXP012</t>
  </si>
  <si>
    <t>Software</t>
  </si>
  <si>
    <t>EXP013</t>
  </si>
  <si>
    <t>EXP014</t>
  </si>
  <si>
    <t>EXP015</t>
  </si>
  <si>
    <t>EXP016</t>
  </si>
  <si>
    <t>EXP017</t>
  </si>
  <si>
    <t>EXP018</t>
  </si>
  <si>
    <t>EXP019</t>
  </si>
  <si>
    <t>EXP020</t>
  </si>
  <si>
    <t>Office Rent</t>
  </si>
  <si>
    <t>EXP021</t>
  </si>
  <si>
    <t>EXP022</t>
  </si>
  <si>
    <t>EXP023</t>
  </si>
  <si>
    <t>EXP024</t>
  </si>
  <si>
    <t>EXP025</t>
  </si>
  <si>
    <t>EXP026</t>
  </si>
  <si>
    <t>EXP027</t>
  </si>
  <si>
    <t>EXP028</t>
  </si>
  <si>
    <t>EXP029</t>
  </si>
  <si>
    <t>EXP030</t>
  </si>
  <si>
    <t>EXP031</t>
  </si>
  <si>
    <t>EXP032</t>
  </si>
  <si>
    <t>EXP033</t>
  </si>
  <si>
    <t>EXP034</t>
  </si>
  <si>
    <t>EXP035</t>
  </si>
  <si>
    <t>EXP036</t>
  </si>
  <si>
    <t>EXP037</t>
  </si>
  <si>
    <t>EXP038</t>
  </si>
  <si>
    <t>EXP039</t>
  </si>
  <si>
    <t>EXP040</t>
  </si>
  <si>
    <t>EXP041</t>
  </si>
  <si>
    <t>EXP042</t>
  </si>
  <si>
    <t>EXP043</t>
  </si>
  <si>
    <t>EXP044</t>
  </si>
  <si>
    <t>EXP045</t>
  </si>
  <si>
    <t>EXP046</t>
  </si>
  <si>
    <t>EXP047</t>
  </si>
  <si>
    <t>EXP048</t>
  </si>
  <si>
    <t>EXP049</t>
  </si>
  <si>
    <t>EXP050</t>
  </si>
  <si>
    <t>Month</t>
  </si>
  <si>
    <t>Total Income</t>
  </si>
  <si>
    <t>Total Expense</t>
  </si>
  <si>
    <t>Net Cash Flow</t>
  </si>
  <si>
    <t>Cash Balance</t>
  </si>
  <si>
    <t>KPI Board</t>
  </si>
  <si>
    <t>Net Profit</t>
  </si>
  <si>
    <t>Profit %</t>
  </si>
  <si>
    <t>Avg Monthly Burn</t>
  </si>
  <si>
    <t>Runway (Months)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</si>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</sst>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44" fontId="0" fillId="0" borderId="0" xfId="0" applyNumberFormat="1"/>
    <xf numFmtId="165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1" xfId="0" applyFont="1" applyFill="1" applyBorder="1"/>
    <xf numFmtId="44" fontId="2" fillId="0" borderId="1" xfId="0" quotePrefix="1" applyNumberFormat="1" applyFont="1" applyBorder="1"/>
    <xf numFmtId="9" fontId="2" fillId="0" borderId="1" xfId="0" quotePrefix="1" applyNumberFormat="1" applyFont="1" applyBorder="1"/>
    <xf numFmtId="2" fontId="2" fillId="0" borderId="1" xfId="0" quotePrefix="1" applyNumberFormat="1" applyFont="1" applyBorder="1"/>
    <xf numFmtId="0" fontId="0" fillId="4" borderId="0" xfId="0" applyFill="1"/>
    <xf numFmtId="0" fontId="3" fillId="3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[$-F800]dddd\,\ mmmm\ dd\,\ yyyy"/>
    </dxf>
    <dxf>
      <numFmt numFmtId="30" formatCode="@"/>
    </dxf>
    <dxf>
      <alignment horizontal="center"/>
    </dxf>
    <dxf>
      <numFmt numFmtId="34" formatCode="_(&quot;$&quot;* #,##0.00_);_(&quot;$&quot;* \(#,##0.00\);_(&quot;$&quot;* &quot;-&quot;??_);_(@_)"/>
    </dxf>
    <dxf>
      <numFmt numFmtId="164" formatCode="[$-F800]dddd\,\ mmmm\ dd\,\ yyyy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Balance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Cash_Flow!$E$1</c:f>
              <c:strCache>
                <c:ptCount val="1"/>
                <c:pt idx="0">
                  <c:v>Cash Balance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Cash_Flow!$A$2:$A$13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Cash_Flow!$E$2:$E$13</c:f>
              <c:numCache>
                <c:formatCode>_("$"* #,##0.00_);_("$"* \(#,##0.00\);_("$"* "-"??_);_(@_)</c:formatCode>
                <c:ptCount val="12"/>
                <c:pt idx="0">
                  <c:v>10419</c:v>
                </c:pt>
                <c:pt idx="1">
                  <c:v>10406</c:v>
                </c:pt>
                <c:pt idx="2">
                  <c:v>7755</c:v>
                </c:pt>
                <c:pt idx="3">
                  <c:v>7351</c:v>
                </c:pt>
                <c:pt idx="4">
                  <c:v>9622</c:v>
                </c:pt>
                <c:pt idx="5">
                  <c:v>14200</c:v>
                </c:pt>
                <c:pt idx="6">
                  <c:v>14200</c:v>
                </c:pt>
                <c:pt idx="7">
                  <c:v>14200</c:v>
                </c:pt>
                <c:pt idx="8">
                  <c:v>14200</c:v>
                </c:pt>
                <c:pt idx="9">
                  <c:v>14200</c:v>
                </c:pt>
                <c:pt idx="10">
                  <c:v>14200</c:v>
                </c:pt>
                <c:pt idx="11">
                  <c:v>14200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3-4F45-8268-4FBEE16A6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75104255"/>
        <c:axId val="575109055"/>
      </c:lineChart>
      <c:catAx>
        <c:axId val="57510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09055"/>
        <c:crosses val="autoZero"/>
        <c:auto val="1"/>
        <c:lblAlgn val="ctr"/>
        <c:lblOffset val="100"/>
        <c:noMultiLvlLbl val="0"/>
      </c:catAx>
      <c:valAx>
        <c:axId val="57510905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0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[Financial_Cashflow_50_Rows.xlsx]Settings!PivotTable4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Expense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Settings!$E$5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D6-4881-9642-DE40AC4740E9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D6-4881-9642-DE40AC4740E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D6-4881-9642-DE40AC4740E9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D6-4881-9642-DE40AC4740E9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D6-4881-9642-DE40AC4740E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Settings!$D$6:$D$11</c:f>
              <c:strCache>
                <c:ptCount val="5"/>
                <c:pt idx="0">
                  <c:v>Marketing</c:v>
                </c:pt>
                <c:pt idx="1">
                  <c:v>Rent</c:v>
                </c:pt>
                <c:pt idx="2">
                  <c:v>Salaries</c:v>
                </c:pt>
                <c:pt idx="3">
                  <c:v>Software</c:v>
                </c:pt>
                <c:pt idx="4">
                  <c:v>Utilities</c:v>
                </c:pt>
              </c:strCache>
            </c:strRef>
          </c:cat>
          <c:val>
            <c:numRef>
              <c:f>Settings!$E$6:$E$11</c:f>
              <c:numCache>
                <c:formatCode>_("$"* #,##0.00_);_("$"* \(#,##0.00\);_("$"* "-"??_);_(@_)</c:formatCode>
                <c:ptCount val="5"/>
                <c:pt idx="0">
                  <c:v>3956</c:v>
                </c:pt>
                <c:pt idx="1">
                  <c:v>8631</c:v>
                </c:pt>
                <c:pt idx="2">
                  <c:v>10167</c:v>
                </c:pt>
                <c:pt idx="3">
                  <c:v>1275</c:v>
                </c:pt>
                <c:pt idx="4">
                  <c:v>7623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D6-4881-9642-DE40AC4740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bg1"/>
                </a:solidFill>
              </a:rPr>
              <a:t>Monthly 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Cash_Flow!$B$1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Cash_Flow!$A$2:$A$13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Cash_Flow!$B$2:$B$13</c:f>
              <c:numCache>
                <c:formatCode>_("$"* #,##0.00_);_("$"* \(#,##0.00\);_("$"* "-"??_);_(@_)</c:formatCode>
                <c:ptCount val="12"/>
                <c:pt idx="0">
                  <c:v>7085</c:v>
                </c:pt>
                <c:pt idx="1">
                  <c:v>4239</c:v>
                </c:pt>
                <c:pt idx="2">
                  <c:v>4005</c:v>
                </c:pt>
                <c:pt idx="3">
                  <c:v>3974</c:v>
                </c:pt>
                <c:pt idx="4">
                  <c:v>7424</c:v>
                </c:pt>
                <c:pt idx="5">
                  <c:v>9125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C-47C0-BFD2-FAAE532FDC9C}"/>
            </c:ext>
          </c:extLst>
        </c:ser>
        <c:ser>
          <c:idx val="1"/>
          <c:order val="1"/>
          <c:tx>
            <c:strRef>
              <c:f>Cash_Flow!$C$1</c:f>
              <c:strCache>
                <c:ptCount val="1"/>
                <c:pt idx="0">
                  <c:v> Total Expense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Cash_Flow!$A$2:$A$13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Cash_Flow!$C$2:$C$13</c:f>
              <c:numCache>
                <c:formatCode>_("$"* #,##0.00_);_("$"* \(#,##0.00\);_("$"* "-"??_);_(@_)</c:formatCode>
                <c:ptCount val="12"/>
                <c:pt idx="0">
                  <c:v>6666</c:v>
                </c:pt>
                <c:pt idx="1">
                  <c:v>4252</c:v>
                </c:pt>
                <c:pt idx="2">
                  <c:v>6656</c:v>
                </c:pt>
                <c:pt idx="3">
                  <c:v>4378</c:v>
                </c:pt>
                <c:pt idx="4">
                  <c:v>5153</c:v>
                </c:pt>
                <c:pt idx="5">
                  <c:v>4547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C-47C0-BFD2-FAAE532FDC9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907064543"/>
        <c:axId val="907065023"/>
      </c:barChart>
      <c:catAx>
        <c:axId val="90706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065023"/>
        <c:crosses val="autoZero"/>
        <c:auto val="1"/>
        <c:lblAlgn val="ctr"/>
        <c:lblOffset val="100"/>
        <c:noMultiLvlLbl val="0"/>
      </c:catAx>
      <c:valAx>
        <c:axId val="90706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064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accent5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66675</xdr:rowOff>
    </xdr:from>
    <xdr:to>
      <xdr:col>17</xdr:col>
      <xdr:colOff>552450</xdr:colOff>
      <xdr:row>3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A35C5DD-92DA-3089-8D32-AF75C573D2B5}"/>
            </a:ext>
          </a:extLst>
        </xdr:cNvPr>
        <xdr:cNvSpPr/>
      </xdr:nvSpPr>
      <xdr:spPr>
        <a:xfrm>
          <a:off x="161925" y="66675"/>
          <a:ext cx="10753725" cy="638175"/>
        </a:xfrm>
        <a:prstGeom prst="roundRect">
          <a:avLst/>
        </a:prstGeom>
        <a:solidFill>
          <a:schemeClr val="accent5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1">
              <a:solidFill>
                <a:schemeClr val="lt1"/>
              </a:solidFill>
              <a:latin typeface="+mn-lt"/>
              <a:ea typeface="+mn-lt"/>
              <a:cs typeface="+mn-lt"/>
            </a:rPr>
            <a:t>Financial Performance Dashboard</a:t>
          </a:r>
        </a:p>
      </xdr:txBody>
    </xdr:sp>
    <xdr:clientData/>
  </xdr:twoCellAnchor>
  <xdr:twoCellAnchor>
    <xdr:from>
      <xdr:col>0</xdr:col>
      <xdr:colOff>171450</xdr:colOff>
      <xdr:row>4</xdr:row>
      <xdr:rowOff>57150</xdr:rowOff>
    </xdr:from>
    <xdr:to>
      <xdr:col>6</xdr:col>
      <xdr:colOff>0</xdr:colOff>
      <xdr:row>7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ACFF97F-CF75-A6D4-90A2-2AC858FC95A3}"/>
            </a:ext>
            <a:ext uri="{147F2762-F138-4A5C-976F-8EAC2B608ADB}">
              <a16:predDERef xmlns:a16="http://schemas.microsoft.com/office/drawing/2014/main" pred="{8A35C5DD-92DA-3089-8D32-AF75C573D2B5}"/>
            </a:ext>
          </a:extLst>
        </xdr:cNvPr>
        <xdr:cNvSpPr/>
      </xdr:nvSpPr>
      <xdr:spPr>
        <a:xfrm>
          <a:off x="171450" y="819150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Total Income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 </a:t>
          </a:r>
        </a:p>
      </xdr:txBody>
    </xdr:sp>
    <xdr:clientData/>
  </xdr:twoCellAnchor>
  <xdr:twoCellAnchor>
    <xdr:from>
      <xdr:col>6</xdr:col>
      <xdr:colOff>133350</xdr:colOff>
      <xdr:row>4</xdr:row>
      <xdr:rowOff>57150</xdr:rowOff>
    </xdr:from>
    <xdr:to>
      <xdr:col>11</xdr:col>
      <xdr:colOff>571500</xdr:colOff>
      <xdr:row>7</xdr:row>
      <xdr:rowOff>47625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605A3E3-F0A0-4686-8D15-120BB76391C3}"/>
            </a:ext>
            <a:ext uri="{147F2762-F138-4A5C-976F-8EAC2B608ADB}">
              <a16:predDERef xmlns:a16="http://schemas.microsoft.com/office/drawing/2014/main" pred="{EACFF97F-CF75-A6D4-90A2-2AC858FC95A3}"/>
            </a:ext>
          </a:extLst>
        </xdr:cNvPr>
        <xdr:cNvSpPr/>
      </xdr:nvSpPr>
      <xdr:spPr>
        <a:xfrm>
          <a:off x="3790950" y="819150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Total Expense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</a:t>
          </a:r>
        </a:p>
      </xdr:txBody>
    </xdr:sp>
    <xdr:clientData/>
  </xdr:twoCellAnchor>
  <xdr:twoCellAnchor>
    <xdr:from>
      <xdr:col>12</xdr:col>
      <xdr:colOff>95250</xdr:colOff>
      <xdr:row>4</xdr:row>
      <xdr:rowOff>57150</xdr:rowOff>
    </xdr:from>
    <xdr:to>
      <xdr:col>17</xdr:col>
      <xdr:colOff>533400</xdr:colOff>
      <xdr:row>7</xdr:row>
      <xdr:rowOff>47625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4C82445-B8D4-4431-9A71-3A32C7D033DC}"/>
            </a:ext>
            <a:ext uri="{147F2762-F138-4A5C-976F-8EAC2B608ADB}">
              <a16:predDERef xmlns:a16="http://schemas.microsoft.com/office/drawing/2014/main" pred="{2605A3E3-F0A0-4686-8D15-120BB76391C3}"/>
            </a:ext>
          </a:extLst>
        </xdr:cNvPr>
        <xdr:cNvSpPr/>
      </xdr:nvSpPr>
      <xdr:spPr>
        <a:xfrm>
          <a:off x="7410450" y="819150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Net Profit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</a:t>
          </a:r>
        </a:p>
      </xdr:txBody>
    </xdr:sp>
    <xdr:clientData/>
  </xdr:twoCellAnchor>
  <xdr:twoCellAnchor>
    <xdr:from>
      <xdr:col>0</xdr:col>
      <xdr:colOff>171450</xdr:colOff>
      <xdr:row>7</xdr:row>
      <xdr:rowOff>142875</xdr:rowOff>
    </xdr:from>
    <xdr:to>
      <xdr:col>6</xdr:col>
      <xdr:colOff>0</xdr:colOff>
      <xdr:row>10</xdr:row>
      <xdr:rowOff>133350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E1C3AE8-091A-46C1-9243-1836A6D044F9}"/>
            </a:ext>
            <a:ext uri="{147F2762-F138-4A5C-976F-8EAC2B608ADB}">
              <a16:predDERef xmlns:a16="http://schemas.microsoft.com/office/drawing/2014/main" pred="{94C82445-B8D4-4431-9A71-3A32C7D033DC}"/>
            </a:ext>
          </a:extLst>
        </xdr:cNvPr>
        <xdr:cNvSpPr/>
      </xdr:nvSpPr>
      <xdr:spPr>
        <a:xfrm>
          <a:off x="171450" y="1476375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Profit %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</a:t>
          </a:r>
        </a:p>
      </xdr:txBody>
    </xdr:sp>
    <xdr:clientData/>
  </xdr:twoCellAnchor>
  <xdr:twoCellAnchor>
    <xdr:from>
      <xdr:col>6</xdr:col>
      <xdr:colOff>133350</xdr:colOff>
      <xdr:row>7</xdr:row>
      <xdr:rowOff>142875</xdr:rowOff>
    </xdr:from>
    <xdr:to>
      <xdr:col>11</xdr:col>
      <xdr:colOff>571500</xdr:colOff>
      <xdr:row>10</xdr:row>
      <xdr:rowOff>133350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5EB2E7C-EE6E-4EFE-803B-80738B43B0F5}"/>
            </a:ext>
            <a:ext uri="{147F2762-F138-4A5C-976F-8EAC2B608ADB}">
              <a16:predDERef xmlns:a16="http://schemas.microsoft.com/office/drawing/2014/main" pred="{4E1C3AE8-091A-46C1-9243-1836A6D044F9}"/>
            </a:ext>
          </a:extLst>
        </xdr:cNvPr>
        <xdr:cNvSpPr/>
      </xdr:nvSpPr>
      <xdr:spPr>
        <a:xfrm>
          <a:off x="3790950" y="1476375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Avg Monthly Burn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</a:t>
          </a:r>
        </a:p>
      </xdr:txBody>
    </xdr:sp>
    <xdr:clientData/>
  </xdr:twoCellAnchor>
  <xdr:twoCellAnchor>
    <xdr:from>
      <xdr:col>12</xdr:col>
      <xdr:colOff>95250</xdr:colOff>
      <xdr:row>7</xdr:row>
      <xdr:rowOff>142875</xdr:rowOff>
    </xdr:from>
    <xdr:to>
      <xdr:col>17</xdr:col>
      <xdr:colOff>533400</xdr:colOff>
      <xdr:row>10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FE758CE-9F7C-43BE-9B05-F25E1D0AFE47}"/>
            </a:ext>
            <a:ext uri="{147F2762-F138-4A5C-976F-8EAC2B608ADB}">
              <a16:predDERef xmlns:a16="http://schemas.microsoft.com/office/drawing/2014/main" pred="{55EB2E7C-EE6E-4EFE-803B-80738B43B0F5}"/>
            </a:ext>
          </a:extLst>
        </xdr:cNvPr>
        <xdr:cNvSpPr/>
      </xdr:nvSpPr>
      <xdr:spPr>
        <a:xfrm>
          <a:off x="7410450" y="1476375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Runway (Months)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</a:t>
          </a:r>
        </a:p>
      </xdr:txBody>
    </xdr:sp>
    <xdr:clientData/>
  </xdr:twoCellAnchor>
  <xdr:oneCellAnchor>
    <xdr:from>
      <xdr:col>2</xdr:col>
      <xdr:colOff>314325</xdr:colOff>
      <xdr:row>4</xdr:row>
      <xdr:rowOff>161925</xdr:rowOff>
    </xdr:from>
    <xdr:ext cx="1212383" cy="342786"/>
    <xdr:sp macro="" textlink="Monthly_Summary!B2">
      <xdr:nvSpPr>
        <xdr:cNvPr id="2" name="TextBox 1">
          <a:extLst>
            <a:ext uri="{FF2B5EF4-FFF2-40B4-BE49-F238E27FC236}">
              <a16:creationId xmlns:a16="http://schemas.microsoft.com/office/drawing/2014/main" id="{D530AD1C-7523-1D95-BC37-3FD6A193DFC4}"/>
            </a:ext>
          </a:extLst>
        </xdr:cNvPr>
        <xdr:cNvSpPr txBox="1"/>
      </xdr:nvSpPr>
      <xdr:spPr>
        <a:xfrm>
          <a:off x="1533525" y="923925"/>
          <a:ext cx="121238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86DC9CA-0CB0-4F6B-92A1-F90A8BAAA5A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t> $35,852.00 </a:t>
          </a:fld>
          <a:endParaRPr lang="en-US" sz="1200" b="1"/>
        </a:p>
      </xdr:txBody>
    </xdr:sp>
    <xdr:clientData/>
  </xdr:oneCellAnchor>
  <xdr:oneCellAnchor>
    <xdr:from>
      <xdr:col>8</xdr:col>
      <xdr:colOff>295275</xdr:colOff>
      <xdr:row>4</xdr:row>
      <xdr:rowOff>161925</xdr:rowOff>
    </xdr:from>
    <xdr:ext cx="1212383" cy="342786"/>
    <xdr:sp macro="" textlink="Monthly_Summary!B3">
      <xdr:nvSpPr>
        <xdr:cNvPr id="4" name="TextBox 3">
          <a:extLst>
            <a:ext uri="{FF2B5EF4-FFF2-40B4-BE49-F238E27FC236}">
              <a16:creationId xmlns:a16="http://schemas.microsoft.com/office/drawing/2014/main" id="{166F8999-61C5-4250-AD7B-ED673CF65ABE}"/>
            </a:ext>
          </a:extLst>
        </xdr:cNvPr>
        <xdr:cNvSpPr txBox="1"/>
      </xdr:nvSpPr>
      <xdr:spPr>
        <a:xfrm>
          <a:off x="5172075" y="923925"/>
          <a:ext cx="121238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24D0062-3900-483D-ACDE-5974A07803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t> $31,652.00 </a:t>
          </a:fld>
          <a:endParaRPr lang="en-US" sz="1400" b="1"/>
        </a:p>
      </xdr:txBody>
    </xdr:sp>
    <xdr:clientData/>
  </xdr:oneCellAnchor>
  <xdr:oneCellAnchor>
    <xdr:from>
      <xdr:col>13</xdr:col>
      <xdr:colOff>533400</xdr:colOff>
      <xdr:row>4</xdr:row>
      <xdr:rowOff>161925</xdr:rowOff>
    </xdr:from>
    <xdr:ext cx="1108380" cy="342786"/>
    <xdr:sp macro="" textlink="Monthly_Summary!B4">
      <xdr:nvSpPr>
        <xdr:cNvPr id="5" name="TextBox 4">
          <a:extLst>
            <a:ext uri="{FF2B5EF4-FFF2-40B4-BE49-F238E27FC236}">
              <a16:creationId xmlns:a16="http://schemas.microsoft.com/office/drawing/2014/main" id="{63133F0C-1DF9-4524-84C2-083F221BF98D}"/>
            </a:ext>
          </a:extLst>
        </xdr:cNvPr>
        <xdr:cNvSpPr txBox="1"/>
      </xdr:nvSpPr>
      <xdr:spPr>
        <a:xfrm>
          <a:off x="8458200" y="923925"/>
          <a:ext cx="11083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46BCAEA-16B2-4D14-85E7-A26664D337A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t> $4,200.00 </a:t>
          </a:fld>
          <a:endParaRPr lang="en-US" sz="1600" b="1"/>
        </a:p>
      </xdr:txBody>
    </xdr:sp>
    <xdr:clientData/>
  </xdr:oneCellAnchor>
  <xdr:oneCellAnchor>
    <xdr:from>
      <xdr:col>1</xdr:col>
      <xdr:colOff>409575</xdr:colOff>
      <xdr:row>8</xdr:row>
      <xdr:rowOff>66675</xdr:rowOff>
    </xdr:from>
    <xdr:ext cx="539378" cy="342786"/>
    <xdr:sp macro="" textlink="Monthly_Summary!B5">
      <xdr:nvSpPr>
        <xdr:cNvPr id="6" name="TextBox 5">
          <a:extLst>
            <a:ext uri="{FF2B5EF4-FFF2-40B4-BE49-F238E27FC236}">
              <a16:creationId xmlns:a16="http://schemas.microsoft.com/office/drawing/2014/main" id="{4D0A53E0-5F28-4B4C-A506-0A8831DCDA68}"/>
            </a:ext>
          </a:extLst>
        </xdr:cNvPr>
        <xdr:cNvSpPr txBox="1"/>
      </xdr:nvSpPr>
      <xdr:spPr>
        <a:xfrm>
          <a:off x="1019175" y="1590675"/>
          <a:ext cx="53937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0632F8D-2405-4F2F-B65D-0DC44F0DF61E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t>13%</a:t>
          </a:fld>
          <a:endParaRPr lang="en-US" sz="1800" b="1"/>
        </a:p>
      </xdr:txBody>
    </xdr:sp>
    <xdr:clientData/>
  </xdr:oneCellAnchor>
  <xdr:oneCellAnchor>
    <xdr:from>
      <xdr:col>8</xdr:col>
      <xdr:colOff>600075</xdr:colOff>
      <xdr:row>8</xdr:row>
      <xdr:rowOff>66675</xdr:rowOff>
    </xdr:from>
    <xdr:ext cx="1113125" cy="342786"/>
    <xdr:sp macro="" textlink="Monthly_Summary!B6">
      <xdr:nvSpPr>
        <xdr:cNvPr id="8" name="TextBox 7">
          <a:extLst>
            <a:ext uri="{FF2B5EF4-FFF2-40B4-BE49-F238E27FC236}">
              <a16:creationId xmlns:a16="http://schemas.microsoft.com/office/drawing/2014/main" id="{81CED450-FF5C-44D2-B1F4-D4428326ADB7}"/>
            </a:ext>
          </a:extLst>
        </xdr:cNvPr>
        <xdr:cNvSpPr txBox="1"/>
      </xdr:nvSpPr>
      <xdr:spPr>
        <a:xfrm>
          <a:off x="5476875" y="1590675"/>
          <a:ext cx="1113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DF4027B-56E7-4491-9183-DF98F21015D7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t> $1,022.67 </a:t>
          </a:fld>
          <a:endParaRPr lang="en-US" sz="2000" b="1"/>
        </a:p>
      </xdr:txBody>
    </xdr:sp>
    <xdr:clientData/>
  </xdr:oneCellAnchor>
  <xdr:oneCellAnchor>
    <xdr:from>
      <xdr:col>14</xdr:col>
      <xdr:colOff>600075</xdr:colOff>
      <xdr:row>8</xdr:row>
      <xdr:rowOff>57150</xdr:rowOff>
    </xdr:from>
    <xdr:ext cx="1028680" cy="342786"/>
    <xdr:sp macro="" textlink="Monthly_Summary!B7">
      <xdr:nvSpPr>
        <xdr:cNvPr id="9" name="TextBox 8">
          <a:extLst>
            <a:ext uri="{FF2B5EF4-FFF2-40B4-BE49-F238E27FC236}">
              <a16:creationId xmlns:a16="http://schemas.microsoft.com/office/drawing/2014/main" id="{3548E513-7FD0-4268-A1F9-4EA94FA3B233}"/>
            </a:ext>
          </a:extLst>
        </xdr:cNvPr>
        <xdr:cNvSpPr txBox="1"/>
      </xdr:nvSpPr>
      <xdr:spPr>
        <a:xfrm>
          <a:off x="9134475" y="1581150"/>
          <a:ext cx="10286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08A9871-55ED-445D-9071-4E9812E6ACE7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t>Profitable</a:t>
          </a:fld>
          <a:endParaRPr lang="en-US" sz="2400" b="1"/>
        </a:p>
      </xdr:txBody>
    </xdr:sp>
    <xdr:clientData/>
  </xdr:oneCellAnchor>
  <xdr:twoCellAnchor>
    <xdr:from>
      <xdr:col>0</xdr:col>
      <xdr:colOff>142874</xdr:colOff>
      <xdr:row>11</xdr:row>
      <xdr:rowOff>33337</xdr:rowOff>
    </xdr:from>
    <xdr:to>
      <xdr:col>10</xdr:col>
      <xdr:colOff>152399</xdr:colOff>
      <xdr:row>25</xdr:row>
      <xdr:rowOff>109537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9CB69DEA-B544-43C8-7A67-6C224C693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257175</xdr:colOff>
      <xdr:row>11</xdr:row>
      <xdr:rowOff>33337</xdr:rowOff>
    </xdr:from>
    <xdr:to>
      <xdr:col>17</xdr:col>
      <xdr:colOff>561975</xdr:colOff>
      <xdr:row>25</xdr:row>
      <xdr:rowOff>109537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DB17BFDE-A724-04E3-B87E-97FD23C4B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25</xdr:row>
      <xdr:rowOff>147637</xdr:rowOff>
    </xdr:from>
    <xdr:to>
      <xdr:col>17</xdr:col>
      <xdr:colOff>561975</xdr:colOff>
      <xdr:row>40</xdr:row>
      <xdr:rowOff>33337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2AFFFB8-0073-591C-4DE7-2F170A5E9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S" refreshedDate="46065.614607523145" createdVersion="8" refreshedVersion="8" minRefreshableVersion="3" recordCount="50" xr:uid="{F40B5762-A1F3-4302-AB0B-263D624F5706}">
  <cacheSource type="worksheet">
    <worksheetSource name="Table2"/>
  </cacheSource>
  <cacheFields count="7">
    <cacheField name="Expense_ID" numFmtId="49">
      <sharedItems/>
    </cacheField>
    <cacheField name="Date" numFmtId="164">
      <sharedItems containsSemiMixedTypes="0" containsNonDate="0" containsDate="1" containsString="0" minDate="2026-01-05T00:00:00" maxDate="2026-06-26T00:00:00"/>
    </cacheField>
    <cacheField name="Vendor" numFmtId="0">
      <sharedItems/>
    </cacheField>
    <cacheField name="Category" numFmtId="0">
      <sharedItems count="5">
        <s v="Salaries"/>
        <s v="Marketing"/>
        <s v="Utilities"/>
        <s v="Rent"/>
        <s v="Software"/>
      </sharedItems>
    </cacheField>
    <cacheField name="Description" numFmtId="0">
      <sharedItems/>
    </cacheField>
    <cacheField name="Amount" numFmtId="44">
      <sharedItems containsSemiMixedTypes="0" containsString="0" containsNumber="1" containsInteger="1" minValue="63" maxValue="1193"/>
    </cacheField>
    <cacheField name="Payment_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XP001"/>
    <d v="2026-06-25T00:00:00"/>
    <s v="Facebook Ads"/>
    <x v="0"/>
    <s v="Business expense"/>
    <n v="908"/>
    <s v="Cash"/>
  </r>
  <r>
    <s v="EXP002"/>
    <d v="2026-01-08T00:00:00"/>
    <s v="Electricity Dept"/>
    <x v="1"/>
    <s v="Business expense"/>
    <n v="1053"/>
    <s v="Cash"/>
  </r>
  <r>
    <s v="EXP003"/>
    <d v="2026-04-15T00:00:00"/>
    <s v="Electricity Dept"/>
    <x v="1"/>
    <s v="Business expense"/>
    <n v="596"/>
    <s v="Card"/>
  </r>
  <r>
    <s v="EXP004"/>
    <d v="2026-04-04T00:00:00"/>
    <s v="Electricity Dept"/>
    <x v="2"/>
    <s v="Business expense"/>
    <n v="358"/>
    <s v="Cash"/>
  </r>
  <r>
    <s v="EXP005"/>
    <d v="2026-01-18T00:00:00"/>
    <s v="Software Tools"/>
    <x v="0"/>
    <s v="Business expense"/>
    <n v="1193"/>
    <s v="Cash"/>
  </r>
  <r>
    <s v="EXP006"/>
    <d v="2026-04-11T00:00:00"/>
    <s v="Internet Co"/>
    <x v="3"/>
    <s v="Business expense"/>
    <n v="117"/>
    <s v="Card"/>
  </r>
  <r>
    <s v="EXP007"/>
    <d v="2026-02-03T00:00:00"/>
    <s v="Facebook Ads"/>
    <x v="3"/>
    <s v="Business expense"/>
    <n v="187"/>
    <s v="Bank"/>
  </r>
  <r>
    <s v="EXP008"/>
    <d v="2026-04-16T00:00:00"/>
    <s v="Internet Co"/>
    <x v="3"/>
    <s v="Business expense"/>
    <n v="437"/>
    <s v="Cash"/>
  </r>
  <r>
    <s v="EXP009"/>
    <d v="2026-01-05T00:00:00"/>
    <s v="Internet Co"/>
    <x v="2"/>
    <s v="Business expense"/>
    <n v="1080"/>
    <s v="Cash"/>
  </r>
  <r>
    <s v="EXP010"/>
    <d v="2026-03-21T00:00:00"/>
    <s v="Software Tools"/>
    <x v="3"/>
    <s v="Business expense"/>
    <n v="242"/>
    <s v="Cash"/>
  </r>
  <r>
    <s v="EXP011"/>
    <d v="2026-03-06T00:00:00"/>
    <s v="Electricity Dept"/>
    <x v="0"/>
    <s v="Business expense"/>
    <n v="820"/>
    <s v="Bank"/>
  </r>
  <r>
    <s v="EXP012"/>
    <d v="2026-05-24T00:00:00"/>
    <s v="Electricity Dept"/>
    <x v="4"/>
    <s v="Business expense"/>
    <n v="244"/>
    <s v="Card"/>
  </r>
  <r>
    <s v="EXP013"/>
    <d v="2026-04-29T00:00:00"/>
    <s v="Internet Co"/>
    <x v="0"/>
    <s v="Business expense"/>
    <n v="281"/>
    <s v="Cash"/>
  </r>
  <r>
    <s v="EXP014"/>
    <d v="2026-06-07T00:00:00"/>
    <s v="Software Tools"/>
    <x v="3"/>
    <s v="Business expense"/>
    <n v="481"/>
    <s v="Cash"/>
  </r>
  <r>
    <s v="EXP015"/>
    <d v="2026-01-10T00:00:00"/>
    <s v="Facebook Ads"/>
    <x v="2"/>
    <s v="Business expense"/>
    <n v="117"/>
    <s v="Card"/>
  </r>
  <r>
    <s v="EXP016"/>
    <d v="2026-05-03T00:00:00"/>
    <s v="Facebook Ads"/>
    <x v="0"/>
    <s v="Business expense"/>
    <n v="572"/>
    <s v="Cash"/>
  </r>
  <r>
    <s v="EXP017"/>
    <d v="2026-04-30T00:00:00"/>
    <s v="Facebook Ads"/>
    <x v="2"/>
    <s v="Business expense"/>
    <n v="889"/>
    <s v="Bank"/>
  </r>
  <r>
    <s v="EXP018"/>
    <d v="2026-02-26T00:00:00"/>
    <s v="Electricity Dept"/>
    <x v="3"/>
    <s v="Business expense"/>
    <n v="1033"/>
    <s v="Bank"/>
  </r>
  <r>
    <s v="EXP019"/>
    <d v="2026-05-22T00:00:00"/>
    <s v="Facebook Ads"/>
    <x v="1"/>
    <s v="Business expense"/>
    <n v="77"/>
    <s v="Card"/>
  </r>
  <r>
    <s v="EXP020"/>
    <d v="2026-03-01T00:00:00"/>
    <s v="Office Rent"/>
    <x v="0"/>
    <s v="Business expense"/>
    <n v="524"/>
    <s v="Card"/>
  </r>
  <r>
    <s v="EXP021"/>
    <d v="2026-05-18T00:00:00"/>
    <s v="Electricity Dept"/>
    <x v="1"/>
    <s v="Business expense"/>
    <n v="1097"/>
    <s v="Cash"/>
  </r>
  <r>
    <s v="EXP022"/>
    <d v="2026-04-08T00:00:00"/>
    <s v="Internet Co"/>
    <x v="2"/>
    <s v="Business expense"/>
    <n v="426"/>
    <s v="Card"/>
  </r>
  <r>
    <s v="EXP023"/>
    <d v="2026-06-01T00:00:00"/>
    <s v="Electricity Dept"/>
    <x v="3"/>
    <s v="Business expense"/>
    <n v="915"/>
    <s v="Cash"/>
  </r>
  <r>
    <s v="EXP024"/>
    <d v="2026-03-17T00:00:00"/>
    <s v="Office Rent"/>
    <x v="0"/>
    <s v="Business expense"/>
    <n v="1136"/>
    <s v="Cash"/>
  </r>
  <r>
    <s v="EXP025"/>
    <d v="2026-05-06T00:00:00"/>
    <s v="Facebook Ads"/>
    <x v="4"/>
    <s v="Business expense"/>
    <n v="753"/>
    <s v="Cash"/>
  </r>
  <r>
    <s v="EXP026"/>
    <d v="2026-01-15T00:00:00"/>
    <s v="Facebook Ads"/>
    <x v="2"/>
    <s v="Business expense"/>
    <n v="547"/>
    <s v="Bank"/>
  </r>
  <r>
    <s v="EXP027"/>
    <d v="2026-01-23T00:00:00"/>
    <s v="Electricity Dept"/>
    <x v="2"/>
    <s v="Business expense"/>
    <n v="240"/>
    <s v="Cash"/>
  </r>
  <r>
    <s v="EXP028"/>
    <d v="2026-03-03T00:00:00"/>
    <s v="Software Tools"/>
    <x v="0"/>
    <s v="Business expense"/>
    <n v="980"/>
    <s v="Card"/>
  </r>
  <r>
    <s v="EXP029"/>
    <d v="2026-01-26T00:00:00"/>
    <s v="Internet Co"/>
    <x v="0"/>
    <s v="Business expense"/>
    <n v="918"/>
    <s v="Card"/>
  </r>
  <r>
    <s v="EXP030"/>
    <d v="2026-06-10T00:00:00"/>
    <s v="Internet Co"/>
    <x v="3"/>
    <s v="Business expense"/>
    <n v="972"/>
    <s v="Bank"/>
  </r>
  <r>
    <s v="EXP031"/>
    <d v="2026-02-05T00:00:00"/>
    <s v="Internet Co"/>
    <x v="1"/>
    <s v="Business expense"/>
    <n v="847"/>
    <s v="Cash"/>
  </r>
  <r>
    <s v="EXP032"/>
    <d v="2026-05-29T00:00:00"/>
    <s v="Office Rent"/>
    <x v="0"/>
    <s v="Business expense"/>
    <n v="104"/>
    <s v="Bank"/>
  </r>
  <r>
    <s v="EXP033"/>
    <d v="2026-02-09T00:00:00"/>
    <s v="Office Rent"/>
    <x v="4"/>
    <s v="Business expense"/>
    <n v="215"/>
    <s v="Cash"/>
  </r>
  <r>
    <s v="EXP034"/>
    <d v="2026-01-14T00:00:00"/>
    <s v="Software Tools"/>
    <x v="0"/>
    <s v="Business expense"/>
    <n v="615"/>
    <s v="Card"/>
  </r>
  <r>
    <s v="EXP035"/>
    <d v="2026-01-25T00:00:00"/>
    <s v="Internet Co"/>
    <x v="0"/>
    <s v="Business expense"/>
    <n v="903"/>
    <s v="Bank"/>
  </r>
  <r>
    <s v="EXP036"/>
    <d v="2026-04-11T00:00:00"/>
    <s v="Internet Co"/>
    <x v="4"/>
    <s v="Business expense"/>
    <n v="63"/>
    <s v="Card"/>
  </r>
  <r>
    <s v="EXP037"/>
    <d v="2026-03-12T00:00:00"/>
    <s v="Facebook Ads"/>
    <x v="3"/>
    <s v="Business expense"/>
    <n v="797"/>
    <s v="Cash"/>
  </r>
  <r>
    <s v="EXP038"/>
    <d v="2026-06-23T00:00:00"/>
    <s v="Office Rent"/>
    <x v="2"/>
    <s v="Business expense"/>
    <n v="779"/>
    <s v="Card"/>
  </r>
  <r>
    <s v="EXP039"/>
    <d v="2026-05-27T00:00:00"/>
    <s v="Facebook Ads"/>
    <x v="0"/>
    <s v="Business expense"/>
    <n v="158"/>
    <s v="Bank"/>
  </r>
  <r>
    <s v="EXP040"/>
    <d v="2026-02-21T00:00:00"/>
    <s v="Electricity Dept"/>
    <x v="0"/>
    <s v="Business expense"/>
    <n v="1055"/>
    <s v="Card"/>
  </r>
  <r>
    <s v="EXP041"/>
    <d v="2026-03-26T00:00:00"/>
    <s v="Internet Co"/>
    <x v="2"/>
    <s v="Business expense"/>
    <n v="338"/>
    <s v="Bank"/>
  </r>
  <r>
    <s v="EXP042"/>
    <d v="2026-05-18T00:00:00"/>
    <s v="Office Rent"/>
    <x v="1"/>
    <s v="Business expense"/>
    <n v="286"/>
    <s v="Card"/>
  </r>
  <r>
    <s v="EXP043"/>
    <d v="2026-02-08T00:00:00"/>
    <s v="Electricity Dept"/>
    <x v="3"/>
    <s v="Business expense"/>
    <n v="915"/>
    <s v="Card"/>
  </r>
  <r>
    <s v="EXP044"/>
    <d v="2026-05-01T00:00:00"/>
    <s v="Office Rent"/>
    <x v="2"/>
    <s v="Business expense"/>
    <n v="1146"/>
    <s v="Cash"/>
  </r>
  <r>
    <s v="EXP045"/>
    <d v="2026-03-18T00:00:00"/>
    <s v="Facebook Ads"/>
    <x v="3"/>
    <s v="Business expense"/>
    <n v="801"/>
    <s v="Bank"/>
  </r>
  <r>
    <s v="EXP046"/>
    <d v="2026-03-01T00:00:00"/>
    <s v="Facebook Ads"/>
    <x v="3"/>
    <s v="Business expense"/>
    <n v="1018"/>
    <s v="Card"/>
  </r>
  <r>
    <s v="EXP047"/>
    <d v="2026-06-25T00:00:00"/>
    <s v="Facebook Ads"/>
    <x v="2"/>
    <s v="Business expense"/>
    <n v="492"/>
    <s v="Bank"/>
  </r>
  <r>
    <s v="EXP048"/>
    <d v="2026-05-13T00:00:00"/>
    <s v="Electricity Dept"/>
    <x v="3"/>
    <s v="Business expense"/>
    <n v="716"/>
    <s v="Bank"/>
  </r>
  <r>
    <s v="EXP049"/>
    <d v="2026-04-27T00:00:00"/>
    <s v="Electricity Dept"/>
    <x v="2"/>
    <s v="Business expense"/>
    <n v="556"/>
    <s v="Bank"/>
  </r>
  <r>
    <s v="EXP050"/>
    <d v="2026-04-01T00:00:00"/>
    <s v="Office Rent"/>
    <x v="2"/>
    <s v="Business expense"/>
    <n v="655"/>
    <s v="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3234B-6121-4CD3-9044-64F56C7BCE2E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5:E11" firstHeaderRow="1" firstDataRow="1" firstDataCol="1"/>
  <pivotFields count="7">
    <pivotField showAll="0"/>
    <pivotField numFmtId="164"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numFmtId="4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5" baseField="0" baseItem="0" numFmtId="44"/>
  </dataFields>
  <chartFormats count="6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CE4F8-B973-4CD6-BC2C-F7BB3A533646}" name="Table1" displayName="Table1" ref="A1:G51" totalsRowShown="0" headerRowDxfId="12">
  <autoFilter ref="A1:G51" xr:uid="{A24CE4F8-B973-4CD6-BC2C-F7BB3A533646}"/>
  <tableColumns count="7">
    <tableColumn id="1" xr3:uid="{F37CFD9F-BF40-4445-87FE-BEFD42B7A310}" name="Income_ID" dataDxfId="11"/>
    <tableColumn id="2" xr3:uid="{201676D4-5A1F-461D-A63C-A33821C7242C}" name="Date" dataDxfId="10"/>
    <tableColumn id="3" xr3:uid="{54E5CA9F-5D3E-4FBF-AB80-9F5FEA7C5F36}" name="Source"/>
    <tableColumn id="4" xr3:uid="{120BCEF9-803A-4C81-9C14-087325353CBE}" name="Category"/>
    <tableColumn id="5" xr3:uid="{3B446C9F-F962-473F-8B55-DB96774844C7}" name="Description"/>
    <tableColumn id="6" xr3:uid="{0686B970-45AE-42D6-BD5F-BEAA62CCC2AA}" name="Amount" dataDxfId="9"/>
    <tableColumn id="7" xr3:uid="{9EEF7E2E-243B-43AA-96E7-78D4C1D1506A}" name="Payment_Mod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FF00B5-7252-4C58-88BC-A5F67B2F0F1A}" name="Table2" displayName="Table2" ref="A1:G51" totalsRowShown="0" headerRowDxfId="8">
  <autoFilter ref="A1:G51" xr:uid="{22FF00B5-7252-4C58-88BC-A5F67B2F0F1A}"/>
  <tableColumns count="7">
    <tableColumn id="1" xr3:uid="{E300F137-97C2-4803-AE94-692E37B3FA00}" name="Expense_ID" dataDxfId="7"/>
    <tableColumn id="2" xr3:uid="{00883F95-9C0D-411B-99D8-DF6B87E8FC5A}" name="Date" dataDxfId="6"/>
    <tableColumn id="3" xr3:uid="{A67EA337-DA7E-464E-8020-094EED6B17C3}" name="Vendor"/>
    <tableColumn id="4" xr3:uid="{8FFBCE0C-051F-41D1-8C61-6D85DD5750F2}" name="Category"/>
    <tableColumn id="5" xr3:uid="{1A5679EA-5E25-4EF3-9DC9-9557A38B5F96}" name="Description"/>
    <tableColumn id="6" xr3:uid="{DF21BE86-276B-4922-B027-399046CF568A}" name="Amount" dataDxfId="5"/>
    <tableColumn id="7" xr3:uid="{AD87B681-A33C-4FD4-A10E-CC10F081DC1D}" name="Payment_Mod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F8E0AB-4D4A-46CE-B879-2A0F866876B1}" name="Table3" displayName="Table3" ref="A1:E13" totalsRowShown="0">
  <autoFilter ref="A1:E13" xr:uid="{F6F8E0AB-4D4A-46CE-B879-2A0F866876B1}"/>
  <tableColumns count="5">
    <tableColumn id="1" xr3:uid="{F0790561-CFCA-4559-8E06-2AC532E715E4}" name="Month">
      <calculatedColumnFormula>TEXT(DATE(2026,ROW(A1),1),"mmm-yyyy")</calculatedColumnFormula>
    </tableColumn>
    <tableColumn id="2" xr3:uid="{C80B4A89-6FBF-4EBF-BAB7-09D486D4FC6F}" name="Total Income" dataDxfId="4">
      <calculatedColumnFormula>SUMIFS(Income_DB!F:F,Income_DB!B:B,"&gt;="&amp;EOMONTH(DATE(2026,ROW(A1),1),-1)+1,
Income_DB!B:B,"&lt;="&amp;EOMONTH(DATE(2026,ROW(A1),1),0))</calculatedColumnFormula>
    </tableColumn>
    <tableColumn id="3" xr3:uid="{84DF082B-AFCC-46B4-817C-D7623A8061A9}" name="Total Expense" dataDxfId="3">
      <calculatedColumnFormula>SUMIFS(Expense_DB!F:F,Expense_DB!B:B,"&gt;="&amp;EOMONTH(DATE(2026,ROW(A1),1),-1)+1,
Expense_DB!B:B,"&lt;="&amp;EOMONTH(DATE(2026,ROW(A1),1),0))</calculatedColumnFormula>
    </tableColumn>
    <tableColumn id="4" xr3:uid="{9187C2D8-C89C-4784-81E8-E59B59D2C6AE}" name="Net Cash Flow" dataDxfId="2">
      <calculatedColumnFormula>B2-C2</calculatedColumnFormula>
    </tableColumn>
    <tableColumn id="7" xr3:uid="{D1777B08-E243-4762-8D46-FF0B60D79E4F}" name="Cash Balance" dataDxfId="1">
      <calculatedColumnFormula>Settings!B1 + D2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78E4-66B7-4F26-9607-94667BB95E82}">
  <dimension ref="A1:E11"/>
  <sheetViews>
    <sheetView workbookViewId="0">
      <selection activeCell="D5" sqref="D5"/>
    </sheetView>
  </sheetViews>
  <sheetFormatPr defaultRowHeight="15" x14ac:dyDescent="0.25"/>
  <cols>
    <col min="1" max="1" width="20.140625" bestFit="1" customWidth="1"/>
    <col min="2" max="2" width="10.5703125" bestFit="1" customWidth="1"/>
    <col min="4" max="4" width="13.140625" bestFit="1" customWidth="1"/>
    <col min="5" max="5" width="14.85546875" bestFit="1" customWidth="1"/>
  </cols>
  <sheetData>
    <row r="1" spans="1:5" x14ac:dyDescent="0.25">
      <c r="A1" t="s">
        <v>0</v>
      </c>
      <c r="B1" s="3">
        <v>10000</v>
      </c>
    </row>
    <row r="5" spans="1:5" x14ac:dyDescent="0.25">
      <c r="D5" s="19" t="s">
        <v>144</v>
      </c>
      <c r="E5" t="s">
        <v>146</v>
      </c>
    </row>
    <row r="6" spans="1:5" x14ac:dyDescent="0.25">
      <c r="D6" s="20" t="s">
        <v>79</v>
      </c>
      <c r="E6" s="2">
        <v>3956</v>
      </c>
    </row>
    <row r="7" spans="1:5" x14ac:dyDescent="0.25">
      <c r="D7" s="20" t="s">
        <v>87</v>
      </c>
      <c r="E7" s="2">
        <v>8631</v>
      </c>
    </row>
    <row r="8" spans="1:5" x14ac:dyDescent="0.25">
      <c r="D8" s="20" t="s">
        <v>75</v>
      </c>
      <c r="E8" s="2">
        <v>10167</v>
      </c>
    </row>
    <row r="9" spans="1:5" x14ac:dyDescent="0.25">
      <c r="D9" s="20" t="s">
        <v>94</v>
      </c>
      <c r="E9" s="2">
        <v>1275</v>
      </c>
    </row>
    <row r="10" spans="1:5" x14ac:dyDescent="0.25">
      <c r="D10" s="20" t="s">
        <v>82</v>
      </c>
      <c r="E10" s="2">
        <v>7623</v>
      </c>
    </row>
    <row r="11" spans="1:5" x14ac:dyDescent="0.25">
      <c r="D11" s="20" t="s">
        <v>145</v>
      </c>
      <c r="E11" s="2">
        <v>31652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I12" sqref="I12"/>
    </sheetView>
  </sheetViews>
  <sheetFormatPr defaultRowHeight="15" x14ac:dyDescent="0.25"/>
  <cols>
    <col min="1" max="1" width="14.42578125" style="4" customWidth="1"/>
    <col min="2" max="2" width="28" style="1" bestFit="1" customWidth="1"/>
    <col min="3" max="3" width="15.140625" bestFit="1" customWidth="1"/>
    <col min="4" max="4" width="15.7109375" customWidth="1"/>
    <col min="5" max="5" width="16" customWidth="1"/>
    <col min="6" max="6" width="10.85546875" style="2" bestFit="1" customWidth="1"/>
    <col min="7" max="7" width="18.28515625" bestFit="1" customWidth="1"/>
  </cols>
  <sheetData>
    <row r="1" spans="1:7" s="9" customFormat="1" ht="15.75" x14ac:dyDescent="0.25">
      <c r="A1" s="5" t="s">
        <v>1</v>
      </c>
      <c r="B1" s="6" t="s">
        <v>2</v>
      </c>
      <c r="C1" s="7" t="s">
        <v>3</v>
      </c>
      <c r="D1" s="7" t="s">
        <v>4</v>
      </c>
      <c r="E1" s="7" t="s">
        <v>5</v>
      </c>
      <c r="F1" s="8" t="s">
        <v>6</v>
      </c>
      <c r="G1" s="7" t="s">
        <v>7</v>
      </c>
    </row>
    <row r="2" spans="1:7" x14ac:dyDescent="0.25">
      <c r="A2" s="4" t="s">
        <v>8</v>
      </c>
      <c r="B2" s="1">
        <v>46153</v>
      </c>
      <c r="C2" t="s">
        <v>9</v>
      </c>
      <c r="D2" t="s">
        <v>10</v>
      </c>
      <c r="E2" t="s">
        <v>11</v>
      </c>
      <c r="F2" s="2">
        <v>1355</v>
      </c>
      <c r="G2" t="s">
        <v>12</v>
      </c>
    </row>
    <row r="3" spans="1:7" x14ac:dyDescent="0.25">
      <c r="A3" s="4" t="s">
        <v>13</v>
      </c>
      <c r="B3" s="1">
        <v>46194</v>
      </c>
      <c r="C3" t="s">
        <v>14</v>
      </c>
      <c r="D3" t="s">
        <v>15</v>
      </c>
      <c r="E3" t="s">
        <v>11</v>
      </c>
      <c r="F3" s="2">
        <v>1432</v>
      </c>
      <c r="G3" t="s">
        <v>16</v>
      </c>
    </row>
    <row r="4" spans="1:7" x14ac:dyDescent="0.25">
      <c r="A4" s="4" t="s">
        <v>17</v>
      </c>
      <c r="B4" s="1">
        <v>46039</v>
      </c>
      <c r="C4" t="s">
        <v>14</v>
      </c>
      <c r="D4" t="s">
        <v>10</v>
      </c>
      <c r="E4" t="s">
        <v>11</v>
      </c>
      <c r="F4" s="2">
        <v>1314</v>
      </c>
      <c r="G4" t="s">
        <v>16</v>
      </c>
    </row>
    <row r="5" spans="1:7" x14ac:dyDescent="0.25">
      <c r="A5" s="4" t="s">
        <v>18</v>
      </c>
      <c r="B5" s="1">
        <v>46183</v>
      </c>
      <c r="C5" t="s">
        <v>19</v>
      </c>
      <c r="D5" t="s">
        <v>15</v>
      </c>
      <c r="E5" t="s">
        <v>11</v>
      </c>
      <c r="F5" s="2">
        <v>172</v>
      </c>
      <c r="G5" t="s">
        <v>12</v>
      </c>
    </row>
    <row r="6" spans="1:7" x14ac:dyDescent="0.25">
      <c r="A6" s="4" t="s">
        <v>20</v>
      </c>
      <c r="B6" s="1">
        <v>46153</v>
      </c>
      <c r="C6" t="s">
        <v>9</v>
      </c>
      <c r="D6" t="s">
        <v>15</v>
      </c>
      <c r="E6" t="s">
        <v>11</v>
      </c>
      <c r="F6" s="2">
        <v>705</v>
      </c>
      <c r="G6" t="s">
        <v>21</v>
      </c>
    </row>
    <row r="7" spans="1:7" x14ac:dyDescent="0.25">
      <c r="A7" s="4" t="s">
        <v>22</v>
      </c>
      <c r="B7" s="1">
        <v>46201</v>
      </c>
      <c r="C7" t="s">
        <v>9</v>
      </c>
      <c r="D7" t="s">
        <v>23</v>
      </c>
      <c r="E7" t="s">
        <v>11</v>
      </c>
      <c r="F7" s="2">
        <v>854</v>
      </c>
      <c r="G7" t="s">
        <v>16</v>
      </c>
    </row>
    <row r="8" spans="1:7" x14ac:dyDescent="0.25">
      <c r="A8" s="4" t="s">
        <v>24</v>
      </c>
      <c r="B8" s="1">
        <v>46052</v>
      </c>
      <c r="C8" t="s">
        <v>19</v>
      </c>
      <c r="D8" t="s">
        <v>25</v>
      </c>
      <c r="E8" t="s">
        <v>11</v>
      </c>
      <c r="F8" s="2">
        <v>756</v>
      </c>
      <c r="G8" t="s">
        <v>16</v>
      </c>
    </row>
    <row r="9" spans="1:7" x14ac:dyDescent="0.25">
      <c r="A9" s="4" t="s">
        <v>26</v>
      </c>
      <c r="B9" s="1">
        <v>46166</v>
      </c>
      <c r="C9" t="s">
        <v>9</v>
      </c>
      <c r="D9" t="s">
        <v>25</v>
      </c>
      <c r="E9" t="s">
        <v>11</v>
      </c>
      <c r="F9" s="2">
        <v>1125</v>
      </c>
      <c r="G9" t="s">
        <v>21</v>
      </c>
    </row>
    <row r="10" spans="1:7" x14ac:dyDescent="0.25">
      <c r="A10" s="4" t="s">
        <v>27</v>
      </c>
      <c r="B10" s="1">
        <v>46131</v>
      </c>
      <c r="C10" t="s">
        <v>28</v>
      </c>
      <c r="D10" t="s">
        <v>25</v>
      </c>
      <c r="E10" t="s">
        <v>11</v>
      </c>
      <c r="F10" s="2">
        <v>381</v>
      </c>
      <c r="G10" t="s">
        <v>21</v>
      </c>
    </row>
    <row r="11" spans="1:7" x14ac:dyDescent="0.25">
      <c r="A11" s="4" t="s">
        <v>29</v>
      </c>
      <c r="B11" s="1">
        <v>46186</v>
      </c>
      <c r="C11" t="s">
        <v>9</v>
      </c>
      <c r="D11" t="s">
        <v>25</v>
      </c>
      <c r="E11" t="s">
        <v>11</v>
      </c>
      <c r="F11" s="2">
        <v>957</v>
      </c>
      <c r="G11" t="s">
        <v>12</v>
      </c>
    </row>
    <row r="12" spans="1:7" x14ac:dyDescent="0.25">
      <c r="A12" s="4" t="s">
        <v>30</v>
      </c>
      <c r="B12" s="1">
        <v>46136</v>
      </c>
      <c r="C12" t="s">
        <v>31</v>
      </c>
      <c r="D12" t="s">
        <v>25</v>
      </c>
      <c r="E12" t="s">
        <v>11</v>
      </c>
      <c r="F12" s="2">
        <v>269</v>
      </c>
      <c r="G12" t="s">
        <v>21</v>
      </c>
    </row>
    <row r="13" spans="1:7" x14ac:dyDescent="0.25">
      <c r="A13" s="4" t="s">
        <v>32</v>
      </c>
      <c r="B13" s="1">
        <v>46173</v>
      </c>
      <c r="C13" t="s">
        <v>9</v>
      </c>
      <c r="D13" t="s">
        <v>25</v>
      </c>
      <c r="E13" t="s">
        <v>11</v>
      </c>
      <c r="F13" s="2">
        <v>481</v>
      </c>
      <c r="G13" t="s">
        <v>21</v>
      </c>
    </row>
    <row r="14" spans="1:7" x14ac:dyDescent="0.25">
      <c r="A14" s="4" t="s">
        <v>33</v>
      </c>
      <c r="B14" s="1">
        <v>46194</v>
      </c>
      <c r="C14" t="s">
        <v>31</v>
      </c>
      <c r="D14" t="s">
        <v>23</v>
      </c>
      <c r="E14" t="s">
        <v>11</v>
      </c>
      <c r="F14" s="2">
        <v>191</v>
      </c>
      <c r="G14" t="s">
        <v>21</v>
      </c>
    </row>
    <row r="15" spans="1:7" x14ac:dyDescent="0.25">
      <c r="A15" s="4" t="s">
        <v>34</v>
      </c>
      <c r="B15" s="1">
        <v>46196</v>
      </c>
      <c r="C15" t="s">
        <v>28</v>
      </c>
      <c r="D15" t="s">
        <v>10</v>
      </c>
      <c r="E15" t="s">
        <v>11</v>
      </c>
      <c r="F15" s="2">
        <v>1002</v>
      </c>
      <c r="G15" t="s">
        <v>12</v>
      </c>
    </row>
    <row r="16" spans="1:7" x14ac:dyDescent="0.25">
      <c r="A16" s="4" t="s">
        <v>35</v>
      </c>
      <c r="B16" s="1">
        <v>46087</v>
      </c>
      <c r="C16" t="s">
        <v>28</v>
      </c>
      <c r="D16" t="s">
        <v>23</v>
      </c>
      <c r="E16" t="s">
        <v>11</v>
      </c>
      <c r="F16" s="2">
        <v>604</v>
      </c>
      <c r="G16" t="s">
        <v>21</v>
      </c>
    </row>
    <row r="17" spans="1:7" x14ac:dyDescent="0.25">
      <c r="A17" s="4" t="s">
        <v>36</v>
      </c>
      <c r="B17" s="1">
        <v>46140</v>
      </c>
      <c r="C17" t="s">
        <v>28</v>
      </c>
      <c r="D17" t="s">
        <v>15</v>
      </c>
      <c r="E17" t="s">
        <v>11</v>
      </c>
      <c r="F17" s="2">
        <v>547</v>
      </c>
      <c r="G17" t="s">
        <v>16</v>
      </c>
    </row>
    <row r="18" spans="1:7" x14ac:dyDescent="0.25">
      <c r="A18" s="4" t="s">
        <v>37</v>
      </c>
      <c r="B18" s="1">
        <v>46062</v>
      </c>
      <c r="C18" t="s">
        <v>31</v>
      </c>
      <c r="D18" t="s">
        <v>10</v>
      </c>
      <c r="E18" t="s">
        <v>11</v>
      </c>
      <c r="F18" s="2">
        <v>1343</v>
      </c>
      <c r="G18" t="s">
        <v>21</v>
      </c>
    </row>
    <row r="19" spans="1:7" x14ac:dyDescent="0.25">
      <c r="A19" s="4" t="s">
        <v>38</v>
      </c>
      <c r="B19" s="1">
        <v>46054</v>
      </c>
      <c r="C19" t="s">
        <v>9</v>
      </c>
      <c r="D19" t="s">
        <v>25</v>
      </c>
      <c r="E19" t="s">
        <v>11</v>
      </c>
      <c r="F19" s="2">
        <v>696</v>
      </c>
      <c r="G19" t="s">
        <v>12</v>
      </c>
    </row>
    <row r="20" spans="1:7" x14ac:dyDescent="0.25">
      <c r="A20" s="4" t="s">
        <v>39</v>
      </c>
      <c r="B20" s="1">
        <v>46044</v>
      </c>
      <c r="C20" t="s">
        <v>28</v>
      </c>
      <c r="D20" t="s">
        <v>23</v>
      </c>
      <c r="E20" t="s">
        <v>11</v>
      </c>
      <c r="F20" s="2">
        <v>670</v>
      </c>
      <c r="G20" t="s">
        <v>12</v>
      </c>
    </row>
    <row r="21" spans="1:7" x14ac:dyDescent="0.25">
      <c r="A21" s="4" t="s">
        <v>40</v>
      </c>
      <c r="B21" s="1">
        <v>46183</v>
      </c>
      <c r="C21" t="s">
        <v>9</v>
      </c>
      <c r="D21" t="s">
        <v>25</v>
      </c>
      <c r="E21" t="s">
        <v>11</v>
      </c>
      <c r="F21" s="2">
        <v>265</v>
      </c>
      <c r="G21" t="s">
        <v>21</v>
      </c>
    </row>
    <row r="22" spans="1:7" x14ac:dyDescent="0.25">
      <c r="A22" s="4" t="s">
        <v>41</v>
      </c>
      <c r="B22" s="1">
        <v>46031</v>
      </c>
      <c r="C22" t="s">
        <v>14</v>
      </c>
      <c r="D22" t="s">
        <v>25</v>
      </c>
      <c r="E22" t="s">
        <v>11</v>
      </c>
      <c r="F22" s="2">
        <v>250</v>
      </c>
      <c r="G22" t="s">
        <v>16</v>
      </c>
    </row>
    <row r="23" spans="1:7" x14ac:dyDescent="0.25">
      <c r="A23" s="4" t="s">
        <v>42</v>
      </c>
      <c r="B23" s="1">
        <v>46071</v>
      </c>
      <c r="C23" t="s">
        <v>14</v>
      </c>
      <c r="D23" t="s">
        <v>25</v>
      </c>
      <c r="E23" t="s">
        <v>11</v>
      </c>
      <c r="F23" s="2">
        <v>369</v>
      </c>
      <c r="G23" t="s">
        <v>12</v>
      </c>
    </row>
    <row r="24" spans="1:7" x14ac:dyDescent="0.25">
      <c r="A24" s="4" t="s">
        <v>43</v>
      </c>
      <c r="B24" s="1">
        <v>46032</v>
      </c>
      <c r="C24" t="s">
        <v>14</v>
      </c>
      <c r="D24" t="s">
        <v>10</v>
      </c>
      <c r="E24" t="s">
        <v>11</v>
      </c>
      <c r="F24" s="2">
        <v>428</v>
      </c>
      <c r="G24" t="s">
        <v>12</v>
      </c>
    </row>
    <row r="25" spans="1:7" x14ac:dyDescent="0.25">
      <c r="A25" s="4" t="s">
        <v>44</v>
      </c>
      <c r="B25" s="1">
        <v>46189</v>
      </c>
      <c r="C25" t="s">
        <v>9</v>
      </c>
      <c r="D25" t="s">
        <v>15</v>
      </c>
      <c r="E25" t="s">
        <v>11</v>
      </c>
      <c r="F25" s="2">
        <v>679</v>
      </c>
      <c r="G25" t="s">
        <v>12</v>
      </c>
    </row>
    <row r="26" spans="1:7" x14ac:dyDescent="0.25">
      <c r="A26" s="4" t="s">
        <v>45</v>
      </c>
      <c r="B26" s="1">
        <v>46173</v>
      </c>
      <c r="C26" t="s">
        <v>9</v>
      </c>
      <c r="D26" t="s">
        <v>23</v>
      </c>
      <c r="E26" t="s">
        <v>11</v>
      </c>
      <c r="F26" s="2">
        <v>165</v>
      </c>
      <c r="G26" t="s">
        <v>16</v>
      </c>
    </row>
    <row r="27" spans="1:7" x14ac:dyDescent="0.25">
      <c r="A27" s="4" t="s">
        <v>46</v>
      </c>
      <c r="B27" s="1">
        <v>46113</v>
      </c>
      <c r="C27" t="s">
        <v>19</v>
      </c>
      <c r="D27" t="s">
        <v>10</v>
      </c>
      <c r="E27" t="s">
        <v>11</v>
      </c>
      <c r="F27" s="2">
        <v>1196</v>
      </c>
      <c r="G27" t="s">
        <v>21</v>
      </c>
    </row>
    <row r="28" spans="1:7" x14ac:dyDescent="0.25">
      <c r="A28" s="4" t="s">
        <v>47</v>
      </c>
      <c r="B28" s="1">
        <v>46184</v>
      </c>
      <c r="C28" t="s">
        <v>28</v>
      </c>
      <c r="D28" t="s">
        <v>23</v>
      </c>
      <c r="E28" t="s">
        <v>11</v>
      </c>
      <c r="F28" s="2">
        <v>996</v>
      </c>
      <c r="G28" t="s">
        <v>16</v>
      </c>
    </row>
    <row r="29" spans="1:7" x14ac:dyDescent="0.25">
      <c r="A29" s="4" t="s">
        <v>48</v>
      </c>
      <c r="B29" s="1">
        <v>46043</v>
      </c>
      <c r="C29" t="s">
        <v>9</v>
      </c>
      <c r="D29" t="s">
        <v>23</v>
      </c>
      <c r="E29" t="s">
        <v>11</v>
      </c>
      <c r="F29" s="2">
        <v>1120</v>
      </c>
      <c r="G29" t="s">
        <v>12</v>
      </c>
    </row>
    <row r="30" spans="1:7" x14ac:dyDescent="0.25">
      <c r="A30" s="4" t="s">
        <v>49</v>
      </c>
      <c r="B30" s="1">
        <v>46123</v>
      </c>
      <c r="C30" t="s">
        <v>9</v>
      </c>
      <c r="D30" t="s">
        <v>15</v>
      </c>
      <c r="E30" t="s">
        <v>11</v>
      </c>
      <c r="F30" s="2">
        <v>621</v>
      </c>
      <c r="G30" t="s">
        <v>21</v>
      </c>
    </row>
    <row r="31" spans="1:7" x14ac:dyDescent="0.25">
      <c r="A31" s="4" t="s">
        <v>50</v>
      </c>
      <c r="B31" s="1">
        <v>46158</v>
      </c>
      <c r="C31" t="s">
        <v>28</v>
      </c>
      <c r="D31" t="s">
        <v>10</v>
      </c>
      <c r="E31" t="s">
        <v>11</v>
      </c>
      <c r="F31" s="2">
        <v>1294</v>
      </c>
      <c r="G31" t="s">
        <v>12</v>
      </c>
    </row>
    <row r="32" spans="1:7" x14ac:dyDescent="0.25">
      <c r="A32" s="4" t="s">
        <v>51</v>
      </c>
      <c r="B32" s="1">
        <v>46151</v>
      </c>
      <c r="C32" t="s">
        <v>31</v>
      </c>
      <c r="D32" t="s">
        <v>23</v>
      </c>
      <c r="E32" t="s">
        <v>11</v>
      </c>
      <c r="F32" s="2">
        <v>836</v>
      </c>
      <c r="G32" t="s">
        <v>21</v>
      </c>
    </row>
    <row r="33" spans="1:7" x14ac:dyDescent="0.25">
      <c r="A33" s="4" t="s">
        <v>52</v>
      </c>
      <c r="B33" s="1">
        <v>46108</v>
      </c>
      <c r="C33" t="s">
        <v>31</v>
      </c>
      <c r="D33" t="s">
        <v>23</v>
      </c>
      <c r="E33" t="s">
        <v>11</v>
      </c>
      <c r="F33" s="2">
        <v>209</v>
      </c>
      <c r="G33" t="s">
        <v>21</v>
      </c>
    </row>
    <row r="34" spans="1:7" x14ac:dyDescent="0.25">
      <c r="A34" s="4" t="s">
        <v>53</v>
      </c>
      <c r="B34" s="1">
        <v>46079</v>
      </c>
      <c r="C34" t="s">
        <v>28</v>
      </c>
      <c r="D34" t="s">
        <v>15</v>
      </c>
      <c r="E34" t="s">
        <v>11</v>
      </c>
      <c r="F34" s="2">
        <v>733</v>
      </c>
      <c r="G34" t="s">
        <v>21</v>
      </c>
    </row>
    <row r="35" spans="1:7" x14ac:dyDescent="0.25">
      <c r="A35" s="4" t="s">
        <v>54</v>
      </c>
      <c r="B35" s="1">
        <v>46056</v>
      </c>
      <c r="C35" t="s">
        <v>14</v>
      </c>
      <c r="D35" t="s">
        <v>10</v>
      </c>
      <c r="E35" t="s">
        <v>11</v>
      </c>
      <c r="F35" s="2">
        <v>1098</v>
      </c>
      <c r="G35" t="s">
        <v>21</v>
      </c>
    </row>
    <row r="36" spans="1:7" x14ac:dyDescent="0.25">
      <c r="A36" s="4" t="s">
        <v>55</v>
      </c>
      <c r="B36" s="1">
        <v>46138</v>
      </c>
      <c r="C36" t="s">
        <v>14</v>
      </c>
      <c r="D36" t="s">
        <v>25</v>
      </c>
      <c r="E36" t="s">
        <v>11</v>
      </c>
      <c r="F36" s="2">
        <v>357</v>
      </c>
      <c r="G36" t="s">
        <v>21</v>
      </c>
    </row>
    <row r="37" spans="1:7" x14ac:dyDescent="0.25">
      <c r="A37" s="4" t="s">
        <v>56</v>
      </c>
      <c r="B37" s="1">
        <v>46135</v>
      </c>
      <c r="C37" t="s">
        <v>28</v>
      </c>
      <c r="D37" t="s">
        <v>10</v>
      </c>
      <c r="E37" t="s">
        <v>11</v>
      </c>
      <c r="F37" s="2">
        <v>273</v>
      </c>
      <c r="G37" t="s">
        <v>12</v>
      </c>
    </row>
    <row r="38" spans="1:7" x14ac:dyDescent="0.25">
      <c r="A38" s="4" t="s">
        <v>57</v>
      </c>
      <c r="B38" s="1">
        <v>46049</v>
      </c>
      <c r="C38" t="s">
        <v>28</v>
      </c>
      <c r="D38" t="s">
        <v>23</v>
      </c>
      <c r="E38" t="s">
        <v>11</v>
      </c>
      <c r="F38" s="2">
        <v>229</v>
      </c>
      <c r="G38" t="s">
        <v>12</v>
      </c>
    </row>
    <row r="39" spans="1:7" x14ac:dyDescent="0.25">
      <c r="A39" s="4" t="s">
        <v>58</v>
      </c>
      <c r="B39" s="1">
        <v>46104</v>
      </c>
      <c r="C39" t="s">
        <v>31</v>
      </c>
      <c r="D39" t="s">
        <v>15</v>
      </c>
      <c r="E39" t="s">
        <v>11</v>
      </c>
      <c r="F39" s="2">
        <v>573</v>
      </c>
      <c r="G39" t="s">
        <v>21</v>
      </c>
    </row>
    <row r="40" spans="1:7" x14ac:dyDescent="0.25">
      <c r="A40" s="4" t="s">
        <v>59</v>
      </c>
      <c r="B40" s="1">
        <v>46200</v>
      </c>
      <c r="C40" t="s">
        <v>31</v>
      </c>
      <c r="D40" t="s">
        <v>10</v>
      </c>
      <c r="E40" t="s">
        <v>11</v>
      </c>
      <c r="F40" s="2">
        <v>1458</v>
      </c>
      <c r="G40" t="s">
        <v>21</v>
      </c>
    </row>
    <row r="41" spans="1:7" x14ac:dyDescent="0.25">
      <c r="A41" s="4" t="s">
        <v>60</v>
      </c>
      <c r="B41" s="1">
        <v>46091</v>
      </c>
      <c r="C41" t="s">
        <v>28</v>
      </c>
      <c r="D41" t="s">
        <v>25</v>
      </c>
      <c r="E41" t="s">
        <v>11</v>
      </c>
      <c r="F41" s="2">
        <v>867</v>
      </c>
      <c r="G41" t="s">
        <v>16</v>
      </c>
    </row>
    <row r="42" spans="1:7" x14ac:dyDescent="0.25">
      <c r="A42" s="4" t="s">
        <v>61</v>
      </c>
      <c r="B42" s="1">
        <v>46101</v>
      </c>
      <c r="C42" t="s">
        <v>19</v>
      </c>
      <c r="D42" t="s">
        <v>25</v>
      </c>
      <c r="E42" t="s">
        <v>11</v>
      </c>
      <c r="F42" s="2">
        <v>520</v>
      </c>
      <c r="G42" t="s">
        <v>21</v>
      </c>
    </row>
    <row r="43" spans="1:7" x14ac:dyDescent="0.25">
      <c r="A43" s="4" t="s">
        <v>62</v>
      </c>
      <c r="B43" s="1">
        <v>46048</v>
      </c>
      <c r="C43" t="s">
        <v>31</v>
      </c>
      <c r="D43" t="s">
        <v>10</v>
      </c>
      <c r="E43" t="s">
        <v>11</v>
      </c>
      <c r="F43" s="2">
        <v>836</v>
      </c>
      <c r="G43" t="s">
        <v>21</v>
      </c>
    </row>
    <row r="44" spans="1:7" x14ac:dyDescent="0.25">
      <c r="A44" s="4" t="s">
        <v>63</v>
      </c>
      <c r="B44" s="1">
        <v>46161</v>
      </c>
      <c r="C44" t="s">
        <v>28</v>
      </c>
      <c r="D44" t="s">
        <v>23</v>
      </c>
      <c r="E44" t="s">
        <v>11</v>
      </c>
      <c r="F44" s="2">
        <v>1463</v>
      </c>
      <c r="G44" t="s">
        <v>16</v>
      </c>
    </row>
    <row r="45" spans="1:7" x14ac:dyDescent="0.25">
      <c r="A45" s="4" t="s">
        <v>64</v>
      </c>
      <c r="B45" s="1">
        <v>46139</v>
      </c>
      <c r="C45" t="s">
        <v>28</v>
      </c>
      <c r="D45" t="s">
        <v>10</v>
      </c>
      <c r="E45" t="s">
        <v>11</v>
      </c>
      <c r="F45" s="2">
        <v>330</v>
      </c>
      <c r="G45" t="s">
        <v>21</v>
      </c>
    </row>
    <row r="46" spans="1:7" x14ac:dyDescent="0.25">
      <c r="A46" s="4" t="s">
        <v>65</v>
      </c>
      <c r="B46" s="1">
        <v>46189</v>
      </c>
      <c r="C46" t="s">
        <v>14</v>
      </c>
      <c r="D46" t="s">
        <v>15</v>
      </c>
      <c r="E46" t="s">
        <v>11</v>
      </c>
      <c r="F46" s="2">
        <v>438</v>
      </c>
      <c r="G46" t="s">
        <v>16</v>
      </c>
    </row>
    <row r="47" spans="1:7" x14ac:dyDescent="0.25">
      <c r="A47" s="4" t="s">
        <v>66</v>
      </c>
      <c r="B47" s="1">
        <v>46047</v>
      </c>
      <c r="C47" t="s">
        <v>14</v>
      </c>
      <c r="D47" t="s">
        <v>25</v>
      </c>
      <c r="E47" t="s">
        <v>11</v>
      </c>
      <c r="F47" s="2">
        <v>940</v>
      </c>
      <c r="G47" t="s">
        <v>12</v>
      </c>
    </row>
    <row r="48" spans="1:7" x14ac:dyDescent="0.25">
      <c r="A48" s="4" t="s">
        <v>67</v>
      </c>
      <c r="B48" s="1">
        <v>46201</v>
      </c>
      <c r="C48" t="s">
        <v>28</v>
      </c>
      <c r="D48" t="s">
        <v>10</v>
      </c>
      <c r="E48" t="s">
        <v>11</v>
      </c>
      <c r="F48" s="2">
        <v>681</v>
      </c>
      <c r="G48" t="s">
        <v>21</v>
      </c>
    </row>
    <row r="49" spans="1:7" x14ac:dyDescent="0.25">
      <c r="A49" s="4" t="s">
        <v>68</v>
      </c>
      <c r="B49" s="1">
        <v>46029</v>
      </c>
      <c r="C49" t="s">
        <v>19</v>
      </c>
      <c r="D49" t="s">
        <v>25</v>
      </c>
      <c r="E49" t="s">
        <v>11</v>
      </c>
      <c r="F49" s="2">
        <v>542</v>
      </c>
      <c r="G49" t="s">
        <v>21</v>
      </c>
    </row>
    <row r="50" spans="1:7" x14ac:dyDescent="0.25">
      <c r="A50" s="4" t="s">
        <v>69</v>
      </c>
      <c r="B50" s="1">
        <v>46110</v>
      </c>
      <c r="C50" t="s">
        <v>9</v>
      </c>
      <c r="D50" t="s">
        <v>10</v>
      </c>
      <c r="E50" t="s">
        <v>11</v>
      </c>
      <c r="F50" s="2">
        <v>518</v>
      </c>
      <c r="G50" t="s">
        <v>21</v>
      </c>
    </row>
    <row r="51" spans="1:7" x14ac:dyDescent="0.25">
      <c r="A51" s="4" t="s">
        <v>70</v>
      </c>
      <c r="B51" s="1">
        <v>46085</v>
      </c>
      <c r="C51" t="s">
        <v>31</v>
      </c>
      <c r="D51" t="s">
        <v>10</v>
      </c>
      <c r="E51" t="s">
        <v>11</v>
      </c>
      <c r="F51" s="2">
        <v>714</v>
      </c>
      <c r="G51" t="s">
        <v>12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opLeftCell="A2" workbookViewId="0">
      <selection activeCell="A8" sqref="A2:G51"/>
    </sheetView>
  </sheetViews>
  <sheetFormatPr defaultRowHeight="15" x14ac:dyDescent="0.25"/>
  <cols>
    <col min="1" max="1" width="13.42578125" style="4" bestFit="1" customWidth="1"/>
    <col min="2" max="2" width="26.85546875" style="1" bestFit="1" customWidth="1"/>
    <col min="3" max="3" width="14.140625" bestFit="1" customWidth="1"/>
    <col min="4" max="4" width="15.28515625" customWidth="1"/>
    <col min="5" max="5" width="16" bestFit="1" customWidth="1"/>
    <col min="6" max="6" width="13.42578125" style="2" customWidth="1"/>
    <col min="7" max="7" width="21.140625" customWidth="1"/>
  </cols>
  <sheetData>
    <row r="1" spans="1:7" s="9" customFormat="1" x14ac:dyDescent="0.25">
      <c r="A1" s="12" t="s">
        <v>71</v>
      </c>
      <c r="B1" s="10" t="s">
        <v>2</v>
      </c>
      <c r="C1" s="9" t="s">
        <v>72</v>
      </c>
      <c r="D1" s="9" t="s">
        <v>4</v>
      </c>
      <c r="E1" s="9" t="s">
        <v>5</v>
      </c>
      <c r="F1" s="11" t="s">
        <v>6</v>
      </c>
      <c r="G1" s="9" t="s">
        <v>7</v>
      </c>
    </row>
    <row r="2" spans="1:7" x14ac:dyDescent="0.25">
      <c r="A2" s="4" t="s">
        <v>73</v>
      </c>
      <c r="B2" s="1">
        <v>46198</v>
      </c>
      <c r="C2" t="s">
        <v>74</v>
      </c>
      <c r="D2" t="s">
        <v>75</v>
      </c>
      <c r="E2" t="s">
        <v>76</v>
      </c>
      <c r="F2" s="2">
        <v>908</v>
      </c>
      <c r="G2" t="s">
        <v>12</v>
      </c>
    </row>
    <row r="3" spans="1:7" x14ac:dyDescent="0.25">
      <c r="A3" s="4" t="s">
        <v>77</v>
      </c>
      <c r="B3" s="1">
        <v>46030</v>
      </c>
      <c r="C3" t="s">
        <v>78</v>
      </c>
      <c r="D3" t="s">
        <v>79</v>
      </c>
      <c r="E3" t="s">
        <v>76</v>
      </c>
      <c r="F3" s="2">
        <v>1053</v>
      </c>
      <c r="G3" t="s">
        <v>12</v>
      </c>
    </row>
    <row r="4" spans="1:7" x14ac:dyDescent="0.25">
      <c r="A4" s="4" t="s">
        <v>80</v>
      </c>
      <c r="B4" s="1">
        <v>46127</v>
      </c>
      <c r="C4" t="s">
        <v>78</v>
      </c>
      <c r="D4" t="s">
        <v>79</v>
      </c>
      <c r="E4" t="s">
        <v>76</v>
      </c>
      <c r="F4" s="2">
        <v>596</v>
      </c>
      <c r="G4" t="s">
        <v>16</v>
      </c>
    </row>
    <row r="5" spans="1:7" x14ac:dyDescent="0.25">
      <c r="A5" s="4" t="s">
        <v>81</v>
      </c>
      <c r="B5" s="1">
        <v>46116</v>
      </c>
      <c r="C5" t="s">
        <v>78</v>
      </c>
      <c r="D5" t="s">
        <v>82</v>
      </c>
      <c r="E5" t="s">
        <v>76</v>
      </c>
      <c r="F5" s="2">
        <v>358</v>
      </c>
      <c r="G5" t="s">
        <v>12</v>
      </c>
    </row>
    <row r="6" spans="1:7" x14ac:dyDescent="0.25">
      <c r="A6" s="4" t="s">
        <v>83</v>
      </c>
      <c r="B6" s="1">
        <v>46040</v>
      </c>
      <c r="C6" t="s">
        <v>84</v>
      </c>
      <c r="D6" t="s">
        <v>75</v>
      </c>
      <c r="E6" t="s">
        <v>76</v>
      </c>
      <c r="F6" s="2">
        <v>1193</v>
      </c>
      <c r="G6" t="s">
        <v>12</v>
      </c>
    </row>
    <row r="7" spans="1:7" x14ac:dyDescent="0.25">
      <c r="A7" s="4" t="s">
        <v>85</v>
      </c>
      <c r="B7" s="1">
        <v>46123</v>
      </c>
      <c r="C7" t="s">
        <v>86</v>
      </c>
      <c r="D7" t="s">
        <v>87</v>
      </c>
      <c r="E7" t="s">
        <v>76</v>
      </c>
      <c r="F7" s="2">
        <v>117</v>
      </c>
      <c r="G7" t="s">
        <v>16</v>
      </c>
    </row>
    <row r="8" spans="1:7" x14ac:dyDescent="0.25">
      <c r="A8" s="4" t="s">
        <v>88</v>
      </c>
      <c r="B8" s="1">
        <v>46056</v>
      </c>
      <c r="C8" t="s">
        <v>74</v>
      </c>
      <c r="D8" t="s">
        <v>87</v>
      </c>
      <c r="E8" t="s">
        <v>76</v>
      </c>
      <c r="F8" s="2">
        <v>187</v>
      </c>
      <c r="G8" t="s">
        <v>21</v>
      </c>
    </row>
    <row r="9" spans="1:7" x14ac:dyDescent="0.25">
      <c r="A9" s="4" t="s">
        <v>89</v>
      </c>
      <c r="B9" s="1">
        <v>46128</v>
      </c>
      <c r="C9" t="s">
        <v>86</v>
      </c>
      <c r="D9" t="s">
        <v>87</v>
      </c>
      <c r="E9" t="s">
        <v>76</v>
      </c>
      <c r="F9" s="2">
        <v>437</v>
      </c>
      <c r="G9" t="s">
        <v>12</v>
      </c>
    </row>
    <row r="10" spans="1:7" x14ac:dyDescent="0.25">
      <c r="A10" s="4" t="s">
        <v>90</v>
      </c>
      <c r="B10" s="1">
        <v>46027</v>
      </c>
      <c r="C10" t="s">
        <v>86</v>
      </c>
      <c r="D10" t="s">
        <v>82</v>
      </c>
      <c r="E10" t="s">
        <v>76</v>
      </c>
      <c r="F10" s="2">
        <v>1080</v>
      </c>
      <c r="G10" t="s">
        <v>12</v>
      </c>
    </row>
    <row r="11" spans="1:7" x14ac:dyDescent="0.25">
      <c r="A11" s="4" t="s">
        <v>91</v>
      </c>
      <c r="B11" s="1">
        <v>46102</v>
      </c>
      <c r="C11" t="s">
        <v>84</v>
      </c>
      <c r="D11" t="s">
        <v>87</v>
      </c>
      <c r="E11" t="s">
        <v>76</v>
      </c>
      <c r="F11" s="2">
        <v>242</v>
      </c>
      <c r="G11" t="s">
        <v>12</v>
      </c>
    </row>
    <row r="12" spans="1:7" x14ac:dyDescent="0.25">
      <c r="A12" s="4" t="s">
        <v>92</v>
      </c>
      <c r="B12" s="1">
        <v>46087</v>
      </c>
      <c r="C12" t="s">
        <v>78</v>
      </c>
      <c r="D12" t="s">
        <v>75</v>
      </c>
      <c r="E12" t="s">
        <v>76</v>
      </c>
      <c r="F12" s="2">
        <v>820</v>
      </c>
      <c r="G12" t="s">
        <v>21</v>
      </c>
    </row>
    <row r="13" spans="1:7" x14ac:dyDescent="0.25">
      <c r="A13" s="4" t="s">
        <v>93</v>
      </c>
      <c r="B13" s="1">
        <v>46166</v>
      </c>
      <c r="C13" t="s">
        <v>78</v>
      </c>
      <c r="D13" t="s">
        <v>94</v>
      </c>
      <c r="E13" t="s">
        <v>76</v>
      </c>
      <c r="F13" s="2">
        <v>244</v>
      </c>
      <c r="G13" t="s">
        <v>16</v>
      </c>
    </row>
    <row r="14" spans="1:7" x14ac:dyDescent="0.25">
      <c r="A14" s="4" t="s">
        <v>95</v>
      </c>
      <c r="B14" s="1">
        <v>46141</v>
      </c>
      <c r="C14" t="s">
        <v>86</v>
      </c>
      <c r="D14" t="s">
        <v>75</v>
      </c>
      <c r="E14" t="s">
        <v>76</v>
      </c>
      <c r="F14" s="2">
        <v>281</v>
      </c>
      <c r="G14" t="s">
        <v>12</v>
      </c>
    </row>
    <row r="15" spans="1:7" x14ac:dyDescent="0.25">
      <c r="A15" s="4" t="s">
        <v>96</v>
      </c>
      <c r="B15" s="1">
        <v>46180</v>
      </c>
      <c r="C15" t="s">
        <v>84</v>
      </c>
      <c r="D15" t="s">
        <v>87</v>
      </c>
      <c r="E15" t="s">
        <v>76</v>
      </c>
      <c r="F15" s="2">
        <v>481</v>
      </c>
      <c r="G15" t="s">
        <v>12</v>
      </c>
    </row>
    <row r="16" spans="1:7" x14ac:dyDescent="0.25">
      <c r="A16" s="4" t="s">
        <v>97</v>
      </c>
      <c r="B16" s="1">
        <v>46032</v>
      </c>
      <c r="C16" t="s">
        <v>74</v>
      </c>
      <c r="D16" t="s">
        <v>82</v>
      </c>
      <c r="E16" t="s">
        <v>76</v>
      </c>
      <c r="F16" s="2">
        <v>117</v>
      </c>
      <c r="G16" t="s">
        <v>16</v>
      </c>
    </row>
    <row r="17" spans="1:7" x14ac:dyDescent="0.25">
      <c r="A17" s="4" t="s">
        <v>98</v>
      </c>
      <c r="B17" s="1">
        <v>46145</v>
      </c>
      <c r="C17" t="s">
        <v>74</v>
      </c>
      <c r="D17" t="s">
        <v>75</v>
      </c>
      <c r="E17" t="s">
        <v>76</v>
      </c>
      <c r="F17" s="2">
        <v>572</v>
      </c>
      <c r="G17" t="s">
        <v>12</v>
      </c>
    </row>
    <row r="18" spans="1:7" x14ac:dyDescent="0.25">
      <c r="A18" s="4" t="s">
        <v>99</v>
      </c>
      <c r="B18" s="1">
        <v>46142</v>
      </c>
      <c r="C18" t="s">
        <v>74</v>
      </c>
      <c r="D18" t="s">
        <v>82</v>
      </c>
      <c r="E18" t="s">
        <v>76</v>
      </c>
      <c r="F18" s="2">
        <v>889</v>
      </c>
      <c r="G18" t="s">
        <v>21</v>
      </c>
    </row>
    <row r="19" spans="1:7" x14ac:dyDescent="0.25">
      <c r="A19" s="4" t="s">
        <v>100</v>
      </c>
      <c r="B19" s="1">
        <v>46079</v>
      </c>
      <c r="C19" t="s">
        <v>78</v>
      </c>
      <c r="D19" t="s">
        <v>87</v>
      </c>
      <c r="E19" t="s">
        <v>76</v>
      </c>
      <c r="F19" s="2">
        <v>1033</v>
      </c>
      <c r="G19" t="s">
        <v>21</v>
      </c>
    </row>
    <row r="20" spans="1:7" x14ac:dyDescent="0.25">
      <c r="A20" s="4" t="s">
        <v>101</v>
      </c>
      <c r="B20" s="1">
        <v>46164</v>
      </c>
      <c r="C20" t="s">
        <v>74</v>
      </c>
      <c r="D20" t="s">
        <v>79</v>
      </c>
      <c r="E20" t="s">
        <v>76</v>
      </c>
      <c r="F20" s="2">
        <v>77</v>
      </c>
      <c r="G20" t="s">
        <v>16</v>
      </c>
    </row>
    <row r="21" spans="1:7" x14ac:dyDescent="0.25">
      <c r="A21" s="4" t="s">
        <v>102</v>
      </c>
      <c r="B21" s="1">
        <v>46082</v>
      </c>
      <c r="C21" t="s">
        <v>103</v>
      </c>
      <c r="D21" t="s">
        <v>75</v>
      </c>
      <c r="E21" t="s">
        <v>76</v>
      </c>
      <c r="F21" s="2">
        <v>524</v>
      </c>
      <c r="G21" t="s">
        <v>16</v>
      </c>
    </row>
    <row r="22" spans="1:7" x14ac:dyDescent="0.25">
      <c r="A22" s="4" t="s">
        <v>104</v>
      </c>
      <c r="B22" s="1">
        <v>46160</v>
      </c>
      <c r="C22" t="s">
        <v>78</v>
      </c>
      <c r="D22" t="s">
        <v>79</v>
      </c>
      <c r="E22" t="s">
        <v>76</v>
      </c>
      <c r="F22" s="2">
        <v>1097</v>
      </c>
      <c r="G22" t="s">
        <v>12</v>
      </c>
    </row>
    <row r="23" spans="1:7" x14ac:dyDescent="0.25">
      <c r="A23" s="4" t="s">
        <v>105</v>
      </c>
      <c r="B23" s="1">
        <v>46120</v>
      </c>
      <c r="C23" t="s">
        <v>86</v>
      </c>
      <c r="D23" t="s">
        <v>82</v>
      </c>
      <c r="E23" t="s">
        <v>76</v>
      </c>
      <c r="F23" s="2">
        <v>426</v>
      </c>
      <c r="G23" t="s">
        <v>16</v>
      </c>
    </row>
    <row r="24" spans="1:7" x14ac:dyDescent="0.25">
      <c r="A24" s="4" t="s">
        <v>106</v>
      </c>
      <c r="B24" s="1">
        <v>46174</v>
      </c>
      <c r="C24" t="s">
        <v>78</v>
      </c>
      <c r="D24" t="s">
        <v>87</v>
      </c>
      <c r="E24" t="s">
        <v>76</v>
      </c>
      <c r="F24" s="2">
        <v>915</v>
      </c>
      <c r="G24" t="s">
        <v>12</v>
      </c>
    </row>
    <row r="25" spans="1:7" x14ac:dyDescent="0.25">
      <c r="A25" s="4" t="s">
        <v>107</v>
      </c>
      <c r="B25" s="1">
        <v>46098</v>
      </c>
      <c r="C25" t="s">
        <v>103</v>
      </c>
      <c r="D25" t="s">
        <v>75</v>
      </c>
      <c r="E25" t="s">
        <v>76</v>
      </c>
      <c r="F25" s="2">
        <v>1136</v>
      </c>
      <c r="G25" t="s">
        <v>12</v>
      </c>
    </row>
    <row r="26" spans="1:7" x14ac:dyDescent="0.25">
      <c r="A26" s="4" t="s">
        <v>108</v>
      </c>
      <c r="B26" s="1">
        <v>46148</v>
      </c>
      <c r="C26" t="s">
        <v>74</v>
      </c>
      <c r="D26" t="s">
        <v>94</v>
      </c>
      <c r="E26" t="s">
        <v>76</v>
      </c>
      <c r="F26" s="2">
        <v>753</v>
      </c>
      <c r="G26" t="s">
        <v>12</v>
      </c>
    </row>
    <row r="27" spans="1:7" x14ac:dyDescent="0.25">
      <c r="A27" s="4" t="s">
        <v>109</v>
      </c>
      <c r="B27" s="1">
        <v>46037</v>
      </c>
      <c r="C27" t="s">
        <v>74</v>
      </c>
      <c r="D27" t="s">
        <v>82</v>
      </c>
      <c r="E27" t="s">
        <v>76</v>
      </c>
      <c r="F27" s="2">
        <v>547</v>
      </c>
      <c r="G27" t="s">
        <v>21</v>
      </c>
    </row>
    <row r="28" spans="1:7" x14ac:dyDescent="0.25">
      <c r="A28" s="4" t="s">
        <v>110</v>
      </c>
      <c r="B28" s="1">
        <v>46045</v>
      </c>
      <c r="C28" t="s">
        <v>78</v>
      </c>
      <c r="D28" t="s">
        <v>82</v>
      </c>
      <c r="E28" t="s">
        <v>76</v>
      </c>
      <c r="F28" s="2">
        <v>240</v>
      </c>
      <c r="G28" t="s">
        <v>12</v>
      </c>
    </row>
    <row r="29" spans="1:7" x14ac:dyDescent="0.25">
      <c r="A29" s="4" t="s">
        <v>111</v>
      </c>
      <c r="B29" s="1">
        <v>46084</v>
      </c>
      <c r="C29" t="s">
        <v>84</v>
      </c>
      <c r="D29" t="s">
        <v>75</v>
      </c>
      <c r="E29" t="s">
        <v>76</v>
      </c>
      <c r="F29" s="2">
        <v>980</v>
      </c>
      <c r="G29" t="s">
        <v>16</v>
      </c>
    </row>
    <row r="30" spans="1:7" x14ac:dyDescent="0.25">
      <c r="A30" s="4" t="s">
        <v>112</v>
      </c>
      <c r="B30" s="1">
        <v>46048</v>
      </c>
      <c r="C30" t="s">
        <v>86</v>
      </c>
      <c r="D30" t="s">
        <v>75</v>
      </c>
      <c r="E30" t="s">
        <v>76</v>
      </c>
      <c r="F30" s="2">
        <v>918</v>
      </c>
      <c r="G30" t="s">
        <v>16</v>
      </c>
    </row>
    <row r="31" spans="1:7" x14ac:dyDescent="0.25">
      <c r="A31" s="4" t="s">
        <v>113</v>
      </c>
      <c r="B31" s="1">
        <v>46183</v>
      </c>
      <c r="C31" t="s">
        <v>86</v>
      </c>
      <c r="D31" t="s">
        <v>87</v>
      </c>
      <c r="E31" t="s">
        <v>76</v>
      </c>
      <c r="F31" s="2">
        <v>972</v>
      </c>
      <c r="G31" t="s">
        <v>21</v>
      </c>
    </row>
    <row r="32" spans="1:7" x14ac:dyDescent="0.25">
      <c r="A32" s="4" t="s">
        <v>114</v>
      </c>
      <c r="B32" s="1">
        <v>46058</v>
      </c>
      <c r="C32" t="s">
        <v>86</v>
      </c>
      <c r="D32" t="s">
        <v>79</v>
      </c>
      <c r="E32" t="s">
        <v>76</v>
      </c>
      <c r="F32" s="2">
        <v>847</v>
      </c>
      <c r="G32" t="s">
        <v>12</v>
      </c>
    </row>
    <row r="33" spans="1:7" x14ac:dyDescent="0.25">
      <c r="A33" s="4" t="s">
        <v>115</v>
      </c>
      <c r="B33" s="1">
        <v>46171</v>
      </c>
      <c r="C33" t="s">
        <v>103</v>
      </c>
      <c r="D33" t="s">
        <v>75</v>
      </c>
      <c r="E33" t="s">
        <v>76</v>
      </c>
      <c r="F33" s="2">
        <v>104</v>
      </c>
      <c r="G33" t="s">
        <v>21</v>
      </c>
    </row>
    <row r="34" spans="1:7" x14ac:dyDescent="0.25">
      <c r="A34" s="4" t="s">
        <v>116</v>
      </c>
      <c r="B34" s="1">
        <v>46062</v>
      </c>
      <c r="C34" t="s">
        <v>103</v>
      </c>
      <c r="D34" t="s">
        <v>94</v>
      </c>
      <c r="E34" t="s">
        <v>76</v>
      </c>
      <c r="F34" s="2">
        <v>215</v>
      </c>
      <c r="G34" t="s">
        <v>12</v>
      </c>
    </row>
    <row r="35" spans="1:7" x14ac:dyDescent="0.25">
      <c r="A35" s="4" t="s">
        <v>117</v>
      </c>
      <c r="B35" s="1">
        <v>46036</v>
      </c>
      <c r="C35" t="s">
        <v>84</v>
      </c>
      <c r="D35" t="s">
        <v>75</v>
      </c>
      <c r="E35" t="s">
        <v>76</v>
      </c>
      <c r="F35" s="2">
        <v>615</v>
      </c>
      <c r="G35" t="s">
        <v>16</v>
      </c>
    </row>
    <row r="36" spans="1:7" x14ac:dyDescent="0.25">
      <c r="A36" s="4" t="s">
        <v>118</v>
      </c>
      <c r="B36" s="1">
        <v>46047</v>
      </c>
      <c r="C36" t="s">
        <v>86</v>
      </c>
      <c r="D36" t="s">
        <v>75</v>
      </c>
      <c r="E36" t="s">
        <v>76</v>
      </c>
      <c r="F36" s="2">
        <v>903</v>
      </c>
      <c r="G36" t="s">
        <v>21</v>
      </c>
    </row>
    <row r="37" spans="1:7" x14ac:dyDescent="0.25">
      <c r="A37" s="4" t="s">
        <v>119</v>
      </c>
      <c r="B37" s="1">
        <v>46123</v>
      </c>
      <c r="C37" t="s">
        <v>86</v>
      </c>
      <c r="D37" t="s">
        <v>94</v>
      </c>
      <c r="E37" t="s">
        <v>76</v>
      </c>
      <c r="F37" s="2">
        <v>63</v>
      </c>
      <c r="G37" t="s">
        <v>16</v>
      </c>
    </row>
    <row r="38" spans="1:7" x14ac:dyDescent="0.25">
      <c r="A38" s="4" t="s">
        <v>120</v>
      </c>
      <c r="B38" s="1">
        <v>46093</v>
      </c>
      <c r="C38" t="s">
        <v>74</v>
      </c>
      <c r="D38" t="s">
        <v>87</v>
      </c>
      <c r="E38" t="s">
        <v>76</v>
      </c>
      <c r="F38" s="2">
        <v>797</v>
      </c>
      <c r="G38" t="s">
        <v>12</v>
      </c>
    </row>
    <row r="39" spans="1:7" x14ac:dyDescent="0.25">
      <c r="A39" s="4" t="s">
        <v>121</v>
      </c>
      <c r="B39" s="1">
        <v>46196</v>
      </c>
      <c r="C39" t="s">
        <v>103</v>
      </c>
      <c r="D39" t="s">
        <v>82</v>
      </c>
      <c r="E39" t="s">
        <v>76</v>
      </c>
      <c r="F39" s="2">
        <v>779</v>
      </c>
      <c r="G39" t="s">
        <v>16</v>
      </c>
    </row>
    <row r="40" spans="1:7" x14ac:dyDescent="0.25">
      <c r="A40" s="4" t="s">
        <v>122</v>
      </c>
      <c r="B40" s="1">
        <v>46169</v>
      </c>
      <c r="C40" t="s">
        <v>74</v>
      </c>
      <c r="D40" t="s">
        <v>75</v>
      </c>
      <c r="E40" t="s">
        <v>76</v>
      </c>
      <c r="F40" s="2">
        <v>158</v>
      </c>
      <c r="G40" t="s">
        <v>21</v>
      </c>
    </row>
    <row r="41" spans="1:7" x14ac:dyDescent="0.25">
      <c r="A41" s="4" t="s">
        <v>123</v>
      </c>
      <c r="B41" s="1">
        <v>46074</v>
      </c>
      <c r="C41" t="s">
        <v>78</v>
      </c>
      <c r="D41" t="s">
        <v>75</v>
      </c>
      <c r="E41" t="s">
        <v>76</v>
      </c>
      <c r="F41" s="2">
        <v>1055</v>
      </c>
      <c r="G41" t="s">
        <v>16</v>
      </c>
    </row>
    <row r="42" spans="1:7" x14ac:dyDescent="0.25">
      <c r="A42" s="4" t="s">
        <v>124</v>
      </c>
      <c r="B42" s="1">
        <v>46107</v>
      </c>
      <c r="C42" t="s">
        <v>86</v>
      </c>
      <c r="D42" t="s">
        <v>82</v>
      </c>
      <c r="E42" t="s">
        <v>76</v>
      </c>
      <c r="F42" s="2">
        <v>338</v>
      </c>
      <c r="G42" t="s">
        <v>21</v>
      </c>
    </row>
    <row r="43" spans="1:7" x14ac:dyDescent="0.25">
      <c r="A43" s="4" t="s">
        <v>125</v>
      </c>
      <c r="B43" s="1">
        <v>46160</v>
      </c>
      <c r="C43" t="s">
        <v>103</v>
      </c>
      <c r="D43" t="s">
        <v>79</v>
      </c>
      <c r="E43" t="s">
        <v>76</v>
      </c>
      <c r="F43" s="2">
        <v>286</v>
      </c>
      <c r="G43" t="s">
        <v>16</v>
      </c>
    </row>
    <row r="44" spans="1:7" x14ac:dyDescent="0.25">
      <c r="A44" s="4" t="s">
        <v>126</v>
      </c>
      <c r="B44" s="1">
        <v>46061</v>
      </c>
      <c r="C44" t="s">
        <v>78</v>
      </c>
      <c r="D44" t="s">
        <v>87</v>
      </c>
      <c r="E44" t="s">
        <v>76</v>
      </c>
      <c r="F44" s="2">
        <v>915</v>
      </c>
      <c r="G44" t="s">
        <v>16</v>
      </c>
    </row>
    <row r="45" spans="1:7" x14ac:dyDescent="0.25">
      <c r="A45" s="4" t="s">
        <v>127</v>
      </c>
      <c r="B45" s="1">
        <v>46143</v>
      </c>
      <c r="C45" t="s">
        <v>103</v>
      </c>
      <c r="D45" t="s">
        <v>82</v>
      </c>
      <c r="E45" t="s">
        <v>76</v>
      </c>
      <c r="F45" s="2">
        <v>1146</v>
      </c>
      <c r="G45" t="s">
        <v>12</v>
      </c>
    </row>
    <row r="46" spans="1:7" x14ac:dyDescent="0.25">
      <c r="A46" s="4" t="s">
        <v>128</v>
      </c>
      <c r="B46" s="1">
        <v>46099</v>
      </c>
      <c r="C46" t="s">
        <v>74</v>
      </c>
      <c r="D46" t="s">
        <v>87</v>
      </c>
      <c r="E46" t="s">
        <v>76</v>
      </c>
      <c r="F46" s="2">
        <v>801</v>
      </c>
      <c r="G46" t="s">
        <v>21</v>
      </c>
    </row>
    <row r="47" spans="1:7" x14ac:dyDescent="0.25">
      <c r="A47" s="4" t="s">
        <v>129</v>
      </c>
      <c r="B47" s="1">
        <v>46082</v>
      </c>
      <c r="C47" t="s">
        <v>74</v>
      </c>
      <c r="D47" t="s">
        <v>87</v>
      </c>
      <c r="E47" t="s">
        <v>76</v>
      </c>
      <c r="F47" s="2">
        <v>1018</v>
      </c>
      <c r="G47" t="s">
        <v>16</v>
      </c>
    </row>
    <row r="48" spans="1:7" x14ac:dyDescent="0.25">
      <c r="A48" s="4" t="s">
        <v>130</v>
      </c>
      <c r="B48" s="1">
        <v>46198</v>
      </c>
      <c r="C48" t="s">
        <v>74</v>
      </c>
      <c r="D48" t="s">
        <v>82</v>
      </c>
      <c r="E48" t="s">
        <v>76</v>
      </c>
      <c r="F48" s="2">
        <v>492</v>
      </c>
      <c r="G48" t="s">
        <v>21</v>
      </c>
    </row>
    <row r="49" spans="1:7" x14ac:dyDescent="0.25">
      <c r="A49" s="4" t="s">
        <v>131</v>
      </c>
      <c r="B49" s="1">
        <v>46155</v>
      </c>
      <c r="C49" t="s">
        <v>78</v>
      </c>
      <c r="D49" t="s">
        <v>87</v>
      </c>
      <c r="E49" t="s">
        <v>76</v>
      </c>
      <c r="F49" s="2">
        <v>716</v>
      </c>
      <c r="G49" t="s">
        <v>21</v>
      </c>
    </row>
    <row r="50" spans="1:7" x14ac:dyDescent="0.25">
      <c r="A50" s="4" t="s">
        <v>132</v>
      </c>
      <c r="B50" s="1">
        <v>46139</v>
      </c>
      <c r="C50" t="s">
        <v>78</v>
      </c>
      <c r="D50" t="s">
        <v>82</v>
      </c>
      <c r="E50" t="s">
        <v>76</v>
      </c>
      <c r="F50" s="2">
        <v>556</v>
      </c>
      <c r="G50" t="s">
        <v>21</v>
      </c>
    </row>
    <row r="51" spans="1:7" x14ac:dyDescent="0.25">
      <c r="A51" s="4" t="s">
        <v>133</v>
      </c>
      <c r="B51" s="1">
        <v>46113</v>
      </c>
      <c r="C51" t="s">
        <v>103</v>
      </c>
      <c r="D51" t="s">
        <v>82</v>
      </c>
      <c r="E51" t="s">
        <v>76</v>
      </c>
      <c r="F51" s="2">
        <v>655</v>
      </c>
      <c r="G51" t="s">
        <v>16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3760-90F6-42DF-9A2E-EF025F019E81}">
  <dimension ref="A1:E13"/>
  <sheetViews>
    <sheetView workbookViewId="0">
      <selection activeCell="L12" sqref="L12"/>
    </sheetView>
  </sheetViews>
  <sheetFormatPr defaultRowHeight="15" x14ac:dyDescent="0.25"/>
  <cols>
    <col min="1" max="1" width="9.7109375" bestFit="1" customWidth="1"/>
    <col min="2" max="2" width="14.7109375" bestFit="1" customWidth="1"/>
    <col min="3" max="3" width="16.42578125" style="2" bestFit="1" customWidth="1"/>
    <col min="4" max="4" width="15.85546875" bestFit="1" customWidth="1"/>
    <col min="5" max="5" width="19.140625" bestFit="1" customWidth="1"/>
  </cols>
  <sheetData>
    <row r="1" spans="1:5" x14ac:dyDescent="0.25">
      <c r="A1" t="s">
        <v>134</v>
      </c>
      <c r="B1" t="s">
        <v>135</v>
      </c>
      <c r="C1" s="2" t="s">
        <v>136</v>
      </c>
      <c r="D1" t="s">
        <v>137</v>
      </c>
      <c r="E1" t="s">
        <v>138</v>
      </c>
    </row>
    <row r="2" spans="1:5" x14ac:dyDescent="0.25">
      <c r="A2" t="str">
        <f>TEXT(DATE(2026,ROW(A1),1),"mmm-yyyy")</f>
        <v>Jan-2026</v>
      </c>
      <c r="B2" s="2">
        <f>SUMIFS(Income_DB!F:F,Income_DB!B:B,"&gt;="&amp;EOMONTH(DATE(2026,ROW(A1),1),-1)+1,
Income_DB!B:B,"&lt;="&amp;EOMONTH(DATE(2026,ROW(A1),1),0))</f>
        <v>7085</v>
      </c>
      <c r="C2" s="2">
        <f>SUMIFS(Expense_DB!F:F,Expense_DB!B:B,"&gt;="&amp;EOMONTH(DATE(2026,ROW(A1),1),-1)+1,
Expense_DB!B:B,"&lt;="&amp;EOMONTH(DATE(2026,ROW(A1),1),0))</f>
        <v>6666</v>
      </c>
      <c r="D2" s="2">
        <f>B2-C2</f>
        <v>419</v>
      </c>
      <c r="E2" s="2">
        <f>Settings!B1 + D2</f>
        <v>10419</v>
      </c>
    </row>
    <row r="3" spans="1:5" x14ac:dyDescent="0.25">
      <c r="A3" t="str">
        <f t="shared" ref="A3:A13" si="0">TEXT(DATE(2026,ROW(A2),1),"mmm-yyyy")</f>
        <v>Feb-2026</v>
      </c>
      <c r="B3" s="2">
        <f>SUMIFS(Income_DB!F:F,Income_DB!B:B,"&gt;="&amp;EOMONTH(DATE(2026,ROW(A2),1),-1)+1,
Income_DB!B:B,"&lt;="&amp;EOMONTH(DATE(2026,ROW(A2),1),0))</f>
        <v>4239</v>
      </c>
      <c r="C3" s="2">
        <f>SUMIFS(Expense_DB!F:F,Expense_DB!B:B,"&gt;="&amp;EOMONTH(DATE(2026,ROW(A2),1),-1)+1,
Expense_DB!B:B,"&lt;="&amp;EOMONTH(DATE(2026,ROW(A2),1),0))</f>
        <v>4252</v>
      </c>
      <c r="D3" s="2">
        <f t="shared" ref="D3:D13" si="1">B3-C3</f>
        <v>-13</v>
      </c>
      <c r="E3" s="2">
        <f>E2 + D3</f>
        <v>10406</v>
      </c>
    </row>
    <row r="4" spans="1:5" x14ac:dyDescent="0.25">
      <c r="A4" t="str">
        <f t="shared" si="0"/>
        <v>Mar-2026</v>
      </c>
      <c r="B4" s="2">
        <f>SUMIFS(Income_DB!F:F,Income_DB!B:B,"&gt;="&amp;EOMONTH(DATE(2026,ROW(A3),1),-1)+1,
Income_DB!B:B,"&lt;="&amp;EOMONTH(DATE(2026,ROW(A3),1),0))</f>
        <v>4005</v>
      </c>
      <c r="C4" s="2">
        <f>SUMIFS(Expense_DB!F:F,Expense_DB!B:B,"&gt;="&amp;EOMONTH(DATE(2026,ROW(A3),1),-1)+1,
Expense_DB!B:B,"&lt;="&amp;EOMONTH(DATE(2026,ROW(A3),1),0))</f>
        <v>6656</v>
      </c>
      <c r="D4" s="2">
        <f t="shared" si="1"/>
        <v>-2651</v>
      </c>
      <c r="E4" s="2">
        <f t="shared" ref="E4:E13" si="2">E3 + D4</f>
        <v>7755</v>
      </c>
    </row>
    <row r="5" spans="1:5" x14ac:dyDescent="0.25">
      <c r="A5" t="str">
        <f t="shared" si="0"/>
        <v>Apr-2026</v>
      </c>
      <c r="B5" s="2">
        <f>SUMIFS(Income_DB!F:F,Income_DB!B:B,"&gt;="&amp;EOMONTH(DATE(2026,ROW(A4),1),-1)+1,
Income_DB!B:B,"&lt;="&amp;EOMONTH(DATE(2026,ROW(A4),1),0))</f>
        <v>3974</v>
      </c>
      <c r="C5" s="2">
        <f>SUMIFS(Expense_DB!F:F,Expense_DB!B:B,"&gt;="&amp;EOMONTH(DATE(2026,ROW(A4),1),-1)+1,
Expense_DB!B:B,"&lt;="&amp;EOMONTH(DATE(2026,ROW(A4),1),0))</f>
        <v>4378</v>
      </c>
      <c r="D5" s="2">
        <f t="shared" si="1"/>
        <v>-404</v>
      </c>
      <c r="E5" s="2">
        <f t="shared" si="2"/>
        <v>7351</v>
      </c>
    </row>
    <row r="6" spans="1:5" x14ac:dyDescent="0.25">
      <c r="A6" t="str">
        <f t="shared" si="0"/>
        <v>May-2026</v>
      </c>
      <c r="B6" s="2">
        <f>SUMIFS(Income_DB!F:F,Income_DB!B:B,"&gt;="&amp;EOMONTH(DATE(2026,ROW(A5),1),-1)+1,
Income_DB!B:B,"&lt;="&amp;EOMONTH(DATE(2026,ROW(A5),1),0))</f>
        <v>7424</v>
      </c>
      <c r="C6" s="2">
        <f>SUMIFS(Expense_DB!F:F,Expense_DB!B:B,"&gt;="&amp;EOMONTH(DATE(2026,ROW(A5),1),-1)+1,
Expense_DB!B:B,"&lt;="&amp;EOMONTH(DATE(2026,ROW(A5),1),0))</f>
        <v>5153</v>
      </c>
      <c r="D6" s="2">
        <f t="shared" si="1"/>
        <v>2271</v>
      </c>
      <c r="E6" s="2">
        <f t="shared" si="2"/>
        <v>9622</v>
      </c>
    </row>
    <row r="7" spans="1:5" x14ac:dyDescent="0.25">
      <c r="A7" t="str">
        <f t="shared" si="0"/>
        <v>Jun-2026</v>
      </c>
      <c r="B7" s="2">
        <f>SUMIFS(Income_DB!F:F,Income_DB!B:B,"&gt;="&amp;EOMONTH(DATE(2026,ROW(A6),1),-1)+1,
Income_DB!B:B,"&lt;="&amp;EOMONTH(DATE(2026,ROW(A6),1),0))</f>
        <v>9125</v>
      </c>
      <c r="C7" s="2">
        <f>SUMIFS(Expense_DB!F:F,Expense_DB!B:B,"&gt;="&amp;EOMONTH(DATE(2026,ROW(A6),1),-1)+1,
Expense_DB!B:B,"&lt;="&amp;EOMONTH(DATE(2026,ROW(A6),1),0))</f>
        <v>4547</v>
      </c>
      <c r="D7" s="2">
        <f t="shared" si="1"/>
        <v>4578</v>
      </c>
      <c r="E7" s="2">
        <f t="shared" si="2"/>
        <v>14200</v>
      </c>
    </row>
    <row r="8" spans="1:5" x14ac:dyDescent="0.25">
      <c r="A8" t="str">
        <f t="shared" si="0"/>
        <v>Jul-2026</v>
      </c>
      <c r="B8" s="2">
        <f>SUMIFS(Income_DB!F:F,Income_DB!B:B,"&gt;="&amp;EOMONTH(DATE(2026,ROW(A7),1),-1)+1,
Income_DB!B:B,"&lt;="&amp;EOMONTH(DATE(2026,ROW(A7),1),0))</f>
        <v>0</v>
      </c>
      <c r="C8" s="2">
        <f>SUMIFS(Expense_DB!F:F,Expense_DB!B:B,"&gt;="&amp;EOMONTH(DATE(2026,ROW(A7),1),-1)+1,
Expense_DB!B:B,"&lt;="&amp;EOMONTH(DATE(2026,ROW(A7),1),0))</f>
        <v>0</v>
      </c>
      <c r="D8" s="2">
        <f t="shared" si="1"/>
        <v>0</v>
      </c>
      <c r="E8" s="2">
        <f t="shared" si="2"/>
        <v>14200</v>
      </c>
    </row>
    <row r="9" spans="1:5" x14ac:dyDescent="0.25">
      <c r="A9" t="str">
        <f t="shared" si="0"/>
        <v>Aug-2026</v>
      </c>
      <c r="B9" s="2">
        <f>SUMIFS(Income_DB!F:F,Income_DB!B:B,"&gt;="&amp;EOMONTH(DATE(2026,ROW(A8),1),-1)+1,
Income_DB!B:B,"&lt;="&amp;EOMONTH(DATE(2026,ROW(A8),1),0))</f>
        <v>0</v>
      </c>
      <c r="C9" s="2">
        <f>SUMIFS(Expense_DB!F:F,Expense_DB!B:B,"&gt;="&amp;EOMONTH(DATE(2026,ROW(A8),1),-1)+1,
Expense_DB!B:B,"&lt;="&amp;EOMONTH(DATE(2026,ROW(A8),1),0))</f>
        <v>0</v>
      </c>
      <c r="D9" s="2">
        <f t="shared" si="1"/>
        <v>0</v>
      </c>
      <c r="E9" s="2">
        <f t="shared" si="2"/>
        <v>14200</v>
      </c>
    </row>
    <row r="10" spans="1:5" x14ac:dyDescent="0.25">
      <c r="A10" t="str">
        <f t="shared" si="0"/>
        <v>Sep-2026</v>
      </c>
      <c r="B10" s="2">
        <f>SUMIFS(Income_DB!F:F,Income_DB!B:B,"&gt;="&amp;EOMONTH(DATE(2026,ROW(A9),1),-1)+1,
Income_DB!B:B,"&lt;="&amp;EOMONTH(DATE(2026,ROW(A9),1),0))</f>
        <v>0</v>
      </c>
      <c r="C10" s="2">
        <f>SUMIFS(Expense_DB!F:F,Expense_DB!B:B,"&gt;="&amp;EOMONTH(DATE(2026,ROW(A9),1),-1)+1,
Expense_DB!B:B,"&lt;="&amp;EOMONTH(DATE(2026,ROW(A9),1),0))</f>
        <v>0</v>
      </c>
      <c r="D10" s="2">
        <f t="shared" si="1"/>
        <v>0</v>
      </c>
      <c r="E10" s="2">
        <f t="shared" si="2"/>
        <v>14200</v>
      </c>
    </row>
    <row r="11" spans="1:5" x14ac:dyDescent="0.25">
      <c r="A11" t="str">
        <f t="shared" si="0"/>
        <v>Oct-2026</v>
      </c>
      <c r="B11" s="2">
        <f>SUMIFS(Income_DB!F:F,Income_DB!B:B,"&gt;="&amp;EOMONTH(DATE(2026,ROW(A10),1),-1)+1,
Income_DB!B:B,"&lt;="&amp;EOMONTH(DATE(2026,ROW(A10),1),0))</f>
        <v>0</v>
      </c>
      <c r="C11" s="2">
        <f>SUMIFS(Expense_DB!F:F,Expense_DB!B:B,"&gt;="&amp;EOMONTH(DATE(2026,ROW(A10),1),-1)+1,
Expense_DB!B:B,"&lt;="&amp;EOMONTH(DATE(2026,ROW(A10),1),0))</f>
        <v>0</v>
      </c>
      <c r="D11" s="2">
        <f t="shared" si="1"/>
        <v>0</v>
      </c>
      <c r="E11" s="2">
        <f t="shared" si="2"/>
        <v>14200</v>
      </c>
    </row>
    <row r="12" spans="1:5" x14ac:dyDescent="0.25">
      <c r="A12" t="str">
        <f t="shared" si="0"/>
        <v>Nov-2026</v>
      </c>
      <c r="B12" s="2">
        <f>SUMIFS(Income_DB!F:F,Income_DB!B:B,"&gt;="&amp;EOMONTH(DATE(2026,ROW(A11),1),-1)+1,
Income_DB!B:B,"&lt;="&amp;EOMONTH(DATE(2026,ROW(A11),1),0))</f>
        <v>0</v>
      </c>
      <c r="C12" s="2">
        <f>SUMIFS(Expense_DB!F:F,Expense_DB!B:B,"&gt;="&amp;EOMONTH(DATE(2026,ROW(A11),1),-1)+1,
Expense_DB!B:B,"&lt;="&amp;EOMONTH(DATE(2026,ROW(A11),1),0))</f>
        <v>0</v>
      </c>
      <c r="D12" s="2">
        <f t="shared" si="1"/>
        <v>0</v>
      </c>
      <c r="E12" s="2">
        <f t="shared" si="2"/>
        <v>14200</v>
      </c>
    </row>
    <row r="13" spans="1:5" x14ac:dyDescent="0.25">
      <c r="A13" t="str">
        <f t="shared" si="0"/>
        <v>Dec-2026</v>
      </c>
      <c r="B13" s="2">
        <f>SUMIFS(Income_DB!F:F,Income_DB!B:B,"&gt;="&amp;EOMONTH(DATE(2026,ROW(A12),1),-1)+1,
Income_DB!B:B,"&lt;="&amp;EOMONTH(DATE(2026,ROW(A12),1),0))</f>
        <v>0</v>
      </c>
      <c r="C13" s="2">
        <f>SUMIFS(Expense_DB!F:F,Expense_DB!B:B,"&gt;="&amp;EOMONTH(DATE(2026,ROW(A12),1),-1)+1,
Expense_DB!B:B,"&lt;="&amp;EOMONTH(DATE(2026,ROW(A12),1),0))</f>
        <v>0</v>
      </c>
      <c r="D13" s="2">
        <f t="shared" si="1"/>
        <v>0</v>
      </c>
      <c r="E13" s="2">
        <f t="shared" si="2"/>
        <v>14200</v>
      </c>
    </row>
  </sheetData>
  <conditionalFormatting sqref="D1:D1048576">
    <cfRule type="iconSet" priority="1">
      <iconSet iconSet="3Arrows">
        <cfvo type="percent" val="0"/>
        <cfvo type="num" val="0"/>
        <cfvo type="num" val="1"/>
      </iconSet>
    </cfRule>
  </conditionalFormatting>
  <conditionalFormatting sqref="H14"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19D4-1958-41E1-AED8-2002BB8F2AE7}">
  <dimension ref="A1:B7"/>
  <sheetViews>
    <sheetView workbookViewId="0">
      <selection activeCell="B2" sqref="B2"/>
    </sheetView>
  </sheetViews>
  <sheetFormatPr defaultRowHeight="15" x14ac:dyDescent="0.25"/>
  <cols>
    <col min="1" max="1" width="21" customWidth="1"/>
    <col min="2" max="2" width="35.42578125" bestFit="1" customWidth="1"/>
  </cols>
  <sheetData>
    <row r="1" spans="1:2" ht="21" x14ac:dyDescent="0.35">
      <c r="A1" s="18" t="s">
        <v>139</v>
      </c>
      <c r="B1" s="18"/>
    </row>
    <row r="2" spans="1:2" ht="18.75" x14ac:dyDescent="0.3">
      <c r="A2" s="13" t="s">
        <v>135</v>
      </c>
      <c r="B2" s="14">
        <f>SUM(Income_DB!F:F)</f>
        <v>35852</v>
      </c>
    </row>
    <row r="3" spans="1:2" ht="18.75" x14ac:dyDescent="0.3">
      <c r="A3" s="13" t="s">
        <v>136</v>
      </c>
      <c r="B3" s="14">
        <f>SUM(Expense_DB!F:F)</f>
        <v>31652</v>
      </c>
    </row>
    <row r="4" spans="1:2" ht="18.75" x14ac:dyDescent="0.3">
      <c r="A4" s="13" t="s">
        <v>140</v>
      </c>
      <c r="B4" s="14">
        <f>B2-B3</f>
        <v>4200</v>
      </c>
    </row>
    <row r="5" spans="1:2" ht="18.75" x14ac:dyDescent="0.3">
      <c r="A5" s="13" t="s">
        <v>141</v>
      </c>
      <c r="B5" s="15">
        <f>B4/B3</f>
        <v>0.13269303677492733</v>
      </c>
    </row>
    <row r="6" spans="1:2" ht="18.75" x14ac:dyDescent="0.3">
      <c r="A6" s="13" t="s">
        <v>142</v>
      </c>
      <c r="B6" s="14">
        <f>ABS(AVERAGEIF(Cash_Flow!D:D,"&lt;0"))</f>
        <v>1022.6666666666666</v>
      </c>
    </row>
    <row r="7" spans="1:2" ht="18.75" x14ac:dyDescent="0.3">
      <c r="A7" s="13" t="s">
        <v>143</v>
      </c>
      <c r="B7" s="16" t="str">
        <f>IF(B5&gt;0,"Profitable",Settings!B1/B6)</f>
        <v>Profitable</v>
      </c>
    </row>
  </sheetData>
  <mergeCells count="1">
    <mergeCell ref="A1:B1"/>
  </mergeCells>
  <conditionalFormatting sqref="B7">
    <cfRule type="cellIs" dxfId="0" priority="1" operator="equal">
      <formula>"Profitable"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5B4E5D7-323F-4FE3-BBAC-A3B8979111E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79AA-8511-40D7-BFDF-3326A5DB64C3}">
  <dimension ref="A1"/>
  <sheetViews>
    <sheetView showGridLines="0" tabSelected="1" zoomScaleNormal="100" workbookViewId="0">
      <selection activeCell="S22" sqref="S22"/>
    </sheetView>
  </sheetViews>
  <sheetFormatPr defaultRowHeight="15" x14ac:dyDescent="0.25"/>
  <cols>
    <col min="1" max="16384" width="9.140625" style="17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Income_DB</vt:lpstr>
      <vt:lpstr>Expense_DB</vt:lpstr>
      <vt:lpstr>Cash_Flow</vt:lpstr>
      <vt:lpstr>Monthly_Summary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subhan sohail</cp:lastModifiedBy>
  <cp:revision/>
  <dcterms:created xsi:type="dcterms:W3CDTF">2026-02-09T15:31:46Z</dcterms:created>
  <dcterms:modified xsi:type="dcterms:W3CDTF">2026-02-12T10:02:10Z</dcterms:modified>
  <cp:category/>
  <cp:contentStatus/>
</cp:coreProperties>
</file>