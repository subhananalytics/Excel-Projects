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Project\"/>
    </mc:Choice>
  </mc:AlternateContent>
  <xr:revisionPtr revIDLastSave="0" documentId="13_ncr:1_{F0F5827E-F822-4869-8DBA-C692A2D99BA8}" xr6:coauthVersionLast="47" xr6:coauthVersionMax="47" xr10:uidLastSave="{00000000-0000-0000-0000-000000000000}"/>
  <bookViews>
    <workbookView xWindow="-120" yWindow="-120" windowWidth="19440" windowHeight="15000" activeTab="1" xr2:uid="{CCC9ABA1-68C1-44FC-937D-74C9A1D489BA}"/>
  </bookViews>
  <sheets>
    <sheet name="Calculations" sheetId="2" r:id="rId1"/>
    <sheet name="Dashboard" sheetId="6" r:id="rId2"/>
    <sheet name="Summary" sheetId="4" r:id="rId3"/>
    <sheet name="Sales_Data" sheetId="1" r:id="rId4"/>
  </sheets>
  <definedNames>
    <definedName name="Slicer_Product">#N/A</definedName>
    <definedName name="Slicer_Salesperson">#N/A</definedName>
  </definedNames>
  <calcPr calcId="191029"/>
  <pivotCaches>
    <pivotCache cacheId="7"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 i="4" l="1"/>
  <c r="C2" i="4"/>
  <c r="K3" i="1"/>
  <c r="K4" i="1"/>
  <c r="K5" i="1"/>
  <c r="K6" i="1"/>
  <c r="K7" i="1"/>
  <c r="K8" i="1"/>
  <c r="K9" i="1"/>
  <c r="K10" i="1"/>
  <c r="K11" i="1"/>
  <c r="K2" i="1"/>
  <c r="C1" i="4" s="1"/>
  <c r="C4" i="4" s="1"/>
</calcChain>
</file>

<file path=xl/sharedStrings.xml><?xml version="1.0" encoding="utf-8"?>
<sst xmlns="http://schemas.openxmlformats.org/spreadsheetml/2006/main" count="80" uniqueCount="41">
  <si>
    <t>Date</t>
  </si>
  <si>
    <t>Product</t>
  </si>
  <si>
    <t>Category</t>
  </si>
  <si>
    <t>Quantity</t>
  </si>
  <si>
    <t>Unit Price</t>
  </si>
  <si>
    <t>Salesperson</t>
  </si>
  <si>
    <t>T-Shirt</t>
  </si>
  <si>
    <t>Clothing</t>
  </si>
  <si>
    <t>Ali</t>
  </si>
  <si>
    <t>Jeans</t>
  </si>
  <si>
    <t>Ahmed</t>
  </si>
  <si>
    <t>Sneakers</t>
  </si>
  <si>
    <t>Footwear</t>
  </si>
  <si>
    <t>Hoodie</t>
  </si>
  <si>
    <t>Sara</t>
  </si>
  <si>
    <t>Sandals</t>
  </si>
  <si>
    <t>Invoice ID</t>
  </si>
  <si>
    <t>INV-001</t>
  </si>
  <si>
    <t>INV-002</t>
  </si>
  <si>
    <t>INV-003</t>
  </si>
  <si>
    <t>INV-004</t>
  </si>
  <si>
    <t>INV-005</t>
  </si>
  <si>
    <t>INV-006</t>
  </si>
  <si>
    <t>INV-007</t>
  </si>
  <si>
    <t>Jacket</t>
  </si>
  <si>
    <t>INV-008</t>
  </si>
  <si>
    <t>INV-009</t>
  </si>
  <si>
    <t>INV-010</t>
  </si>
  <si>
    <t>Total Sales</t>
  </si>
  <si>
    <t>Row Labels</t>
  </si>
  <si>
    <t>Grand Total</t>
  </si>
  <si>
    <t>Sum of Total Sales</t>
  </si>
  <si>
    <t>Total Revenue</t>
  </si>
  <si>
    <t>Total Units Sold</t>
  </si>
  <si>
    <t>Total Orders</t>
  </si>
  <si>
    <t>Average Order Value</t>
  </si>
  <si>
    <t>Sales by Product</t>
  </si>
  <si>
    <t>Sales by Date</t>
  </si>
  <si>
    <t>Sales by Category</t>
  </si>
  <si>
    <t>Sales by Salesperson</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</si>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</sst>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s>
  <fills count="7">
    <fill>
      <patternFill patternType="none"/>
    </fill>
    <fill>
      <patternFill patternType="gray125"/>
    </fill>
    <fill>
      <patternFill patternType="solid">
        <fgColor theme="3" tint="0.79998168889431442"/>
        <bgColor indexed="64"/>
      </patternFill>
    </fill>
    <fill>
      <patternFill patternType="solid">
        <fgColor theme="4" tint="0.79998168889431442"/>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4"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4" fontId="1" fillId="0" borderId="0" applyFont="0" applyFill="0" applyBorder="0" applyAlignment="0" applyProtection="0"/>
  </cellStyleXfs>
  <cellXfs count="24">
    <xf numFmtId="0" fontId="0" fillId="0" borderId="0" xfId="0"/>
    <xf numFmtId="164" fontId="0" fillId="0" borderId="0" xfId="0" applyNumberFormat="1"/>
    <xf numFmtId="0" fontId="0" fillId="0" borderId="1" xfId="0" applyBorder="1" applyAlignment="1">
      <alignment horizontal="left" vertical="center" wrapText="1"/>
    </xf>
    <xf numFmtId="15" fontId="0" fillId="0" borderId="2" xfId="0" applyNumberFormat="1" applyBorder="1" applyAlignment="1">
      <alignment horizontal="left" vertical="center" wrapText="1"/>
    </xf>
    <xf numFmtId="15" fontId="0" fillId="0" borderId="7" xfId="0" applyNumberFormat="1" applyBorder="1" applyAlignment="1">
      <alignment horizontal="left" vertical="center" wrapText="1"/>
    </xf>
    <xf numFmtId="0" fontId="0" fillId="0" borderId="8" xfId="0" applyBorder="1" applyAlignment="1">
      <alignment horizontal="left" vertical="center" wrapText="1"/>
    </xf>
    <xf numFmtId="0" fontId="0" fillId="0" borderId="9" xfId="0" applyBorder="1"/>
    <xf numFmtId="0" fontId="0" fillId="0" borderId="3" xfId="0" applyBorder="1"/>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0" fillId="0" borderId="0" xfId="0" pivotButton="1"/>
    <xf numFmtId="15" fontId="0" fillId="0" borderId="0" xfId="0" applyNumberFormat="1" applyAlignment="1">
      <alignment horizontal="left"/>
    </xf>
    <xf numFmtId="0" fontId="0" fillId="0" borderId="0" xfId="0" applyAlignment="1">
      <alignment horizontal="left"/>
    </xf>
    <xf numFmtId="44" fontId="0" fillId="0" borderId="0" xfId="0" applyNumberFormat="1"/>
    <xf numFmtId="44" fontId="0" fillId="0" borderId="0" xfId="1" applyFont="1"/>
    <xf numFmtId="0" fontId="2" fillId="0" borderId="0" xfId="0" applyFont="1"/>
    <xf numFmtId="0" fontId="2" fillId="2" borderId="0" xfId="0" applyFont="1" applyFill="1"/>
    <xf numFmtId="0" fontId="2" fillId="3" borderId="0" xfId="0" applyFont="1" applyFill="1"/>
    <xf numFmtId="0" fontId="2" fillId="4" borderId="0" xfId="0" applyFont="1" applyFill="1"/>
    <xf numFmtId="0" fontId="2" fillId="5" borderId="0" xfId="0" applyFont="1" applyFill="1"/>
    <xf numFmtId="0" fontId="3" fillId="6" borderId="0" xfId="0" applyFont="1" applyFill="1" applyAlignment="1">
      <alignment horizontal="center" vertical="center"/>
    </xf>
    <xf numFmtId="0" fontId="0" fillId="5" borderId="0" xfId="0" applyFill="1"/>
    <xf numFmtId="0" fontId="0" fillId="0" borderId="0" xfId="0" applyNumberFormat="1"/>
  </cellXfs>
  <cellStyles count="2">
    <cellStyle name="Currency" xfId="1" builtinId="4"/>
    <cellStyle name="Normal" xfId="0" builtinId="0"/>
  </cellStyles>
  <dxfs count="138">
    <dxf>
      <font>
        <color rgb="FF006100"/>
      </font>
      <fill>
        <patternFill>
          <bgColor rgb="FFC6EFCE"/>
        </patternFill>
      </fill>
    </dxf>
    <dxf>
      <numFmt numFmtId="164" formatCode="&quot;$&quot;#,##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quot;$&quot;#,##0.00"/>
    </dxf>
    <dxf>
      <numFmt numFmtId="164" formatCode="&quot;$&quot;#,##0.00"/>
    </dxf>
    <dxf>
      <numFmt numFmtId="34" formatCode="_(&quot;$&quot;* #,##0.00_);_(&quot;$&quot;* \(#,##0.00\);_(&quot;$&quot;* &quot;-&quot;??_);_(@_)"/>
    </dxf>
    <dxf>
      <numFmt numFmtId="34" formatCode="_(&quot;$&quot;* #,##0.00_);_(&quot;$&quot;* \(#,##0.00\);_(&quot;$&quot;* &quot;-&quot;??_);_(@_)"/>
    </dxf>
    <dxf>
      <numFmt numFmtId="164" formatCode="&quot;$&quot;#,##0.00"/>
    </dxf>
    <dxf>
      <numFmt numFmtId="164" formatCode="&quot;$&quot;#,##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quot;$&quot;#,##0.00"/>
    </dxf>
    <dxf>
      <numFmt numFmtId="164" formatCode="&quot;$&quot;#,##0.00"/>
    </dxf>
    <dxf>
      <numFmt numFmtId="34" formatCode="_(&quot;$&quot;* #,##0.00_);_(&quot;$&quot;* \(#,##0.00\);_(&quot;$&quot;* &quot;-&quot;??_);_(@_)"/>
    </dxf>
    <dxf>
      <numFmt numFmtId="34" formatCode="_(&quot;$&quot;* #,##0.00_);_(&quot;$&quot;* \(#,##0.00\);_(&quot;$&quot;* &quot;-&quot;??_);_(@_)"/>
    </dxf>
    <dxf>
      <numFmt numFmtId="164" formatCode="&quot;$&quot;#,##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quot;$&quot;#,##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quot;$&quot;#,##0.00"/>
    </dxf>
    <dxf>
      <numFmt numFmtId="164" formatCode="&quot;$&quot;#,##0.00"/>
    </dxf>
    <dxf>
      <numFmt numFmtId="34" formatCode="_(&quot;$&quot;* #,##0.00_);_(&quot;$&quot;* \(#,##0.00\);_(&quot;$&quot;* &quot;-&quot;??_);_(@_)"/>
    </dxf>
    <dxf>
      <numFmt numFmtId="34" formatCode="_(&quot;$&quot;* #,##0.00_);_(&quot;$&quot;* \(#,##0.00\);_(&quot;$&quot;* &quot;-&quot;??_);_(@_)"/>
    </dxf>
    <dxf>
      <numFmt numFmtId="164" formatCode="&quot;$&quot;#,##0.00"/>
    </dxf>
    <dxf>
      <numFmt numFmtId="164" formatCode="&quot;$&quot;#,##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quot;$&quot;#,##0.00"/>
    </dxf>
    <dxf>
      <numFmt numFmtId="164" formatCode="&quot;$&quot;#,##0.00"/>
    </dxf>
    <dxf>
      <numFmt numFmtId="34" formatCode="_(&quot;$&quot;* #,##0.00_);_(&quot;$&quot;* \(#,##0.00\);_(&quot;$&quot;* &quot;-&quot;??_);_(@_)"/>
    </dxf>
    <dxf>
      <numFmt numFmtId="34" formatCode="_(&quot;$&quot;* #,##0.00_);_(&quot;$&quot;* \(#,##0.00\);_(&quot;$&quot;* &quot;-&quot;??_);_(@_)"/>
    </dxf>
    <dxf>
      <numFmt numFmtId="164" formatCode="&quot;$&quot;#,##0.00"/>
    </dxf>
    <dxf>
      <numFmt numFmtId="164" formatCode="&quot;$&quot;#,##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quot;$&quot;#,##0.00"/>
    </dxf>
    <dxf>
      <numFmt numFmtId="164" formatCode="&quot;$&quot;#,##0.00"/>
    </dxf>
    <dxf>
      <numFmt numFmtId="34" formatCode="_(&quot;$&quot;* #,##0.00_);_(&quot;$&quot;* \(#,##0.00\);_(&quot;$&quot;* &quot;-&quot;??_);_(@_)"/>
    </dxf>
    <dxf>
      <numFmt numFmtId="34" formatCode="_(&quot;$&quot;* #,##0.00_);_(&quot;$&quot;* \(#,##0.00\);_(&quot;$&quot;* &quot;-&quot;??_);_(@_)"/>
    </dxf>
    <dxf>
      <numFmt numFmtId="164" formatCode="&quot;$&quot;#,##0.00"/>
    </dxf>
    <dxf>
      <numFmt numFmtId="164" formatCode="&quot;$&quot;#,##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quot;$&quot;#,##0.00"/>
    </dxf>
    <dxf>
      <numFmt numFmtId="164" formatCode="&quot;$&quot;#,##0.00"/>
    </dxf>
    <dxf>
      <numFmt numFmtId="34" formatCode="_(&quot;$&quot;* #,##0.00_);_(&quot;$&quot;* \(#,##0.00\);_(&quot;$&quot;* &quot;-&quot;??_);_(@_)"/>
    </dxf>
    <dxf>
      <numFmt numFmtId="34" formatCode="_(&quot;$&quot;* #,##0.00_);_(&quot;$&quot;* \(#,##0.00\);_(&quot;$&quot;* &quot;-&quot;??_);_(@_)"/>
    </dxf>
    <dxf>
      <numFmt numFmtId="164" formatCode="&quot;$&quot;#,##0.00"/>
    </dxf>
    <dxf>
      <numFmt numFmtId="164" formatCode="&quot;$&quot;#,##0.00"/>
    </dxf>
    <dxf>
      <numFmt numFmtId="164" formatCode="&quot;$&quot;#,##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quot;$&quot;#,##0.00"/>
    </dxf>
    <dxf>
      <numFmt numFmtId="164" formatCode="&quot;$&quot;#,##0.00"/>
    </dxf>
    <dxf>
      <numFmt numFmtId="34" formatCode="_(&quot;$&quot;* #,##0.00_);_(&quot;$&quot;* \(#,##0.00\);_(&quot;$&quot;* &quot;-&quot;??_);_(@_)"/>
    </dxf>
    <dxf>
      <numFmt numFmtId="34" formatCode="_(&quot;$&quot;* #,##0.00_);_(&quot;$&quot;* \(#,##0.00\);_(&quot;$&quot;* &quot;-&quot;??_);_(@_)"/>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quot;$&quot;#,##0.00"/>
    </dxf>
    <dxf>
      <numFmt numFmtId="34" formatCode="_(&quot;$&quot;* #,##0.00_);_(&quot;$&quot;* \(#,##0.00\);_(&quot;$&quot;* &quot;-&quot;??_);_(@_)"/>
    </dxf>
    <dxf>
      <numFmt numFmtId="34" formatCode="_(&quot;$&quot;* #,##0.00_);_(&quot;$&quot;* \(#,##0.00\);_(&quot;$&quot;* &quot;-&quot;??_);_(@_)"/>
    </dxf>
    <dxf>
      <numFmt numFmtId="164" formatCode="&quot;$&quot;#,##0.00"/>
    </dxf>
    <dxf>
      <numFmt numFmtId="164" formatCode="&quot;$&quot;#,##0.00"/>
    </dxf>
    <dxf>
      <numFmt numFmtId="164" formatCode="&quot;$&quot;#,##0.00"/>
    </dxf>
    <dxf>
      <numFmt numFmtId="164" formatCode="&quot;$&quot;#,##0.00"/>
    </dxf>
    <dxf>
      <border diagonalUp="0" diagonalDown="0">
        <left style="thin">
          <color indexed="64"/>
        </left>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0" formatCode="d\-mmm\-yy"/>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bottom/>
      </border>
    </dxf>
    <dxf>
      <numFmt numFmtId="34" formatCode="_(&quot;$&quot;* #,##0.00_);_(&quot;$&quot;* \(#,##0.00\);_(&quot;$&quot;* &quot;-&quot;??_);_(@_)"/>
    </dxf>
    <dxf>
      <numFmt numFmtId="34" formatCode="_(&quot;$&quot;* #,##0.00_);_(&quot;$&quot;* \(#,##0.00\);_(&quot;$&quot;* &quot;-&quot;??_);_(@_)"/>
    </dxf>
    <dxf>
      <numFmt numFmtId="164" formatCode="&quot;$&quot;#,##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quot;$&quot;#,##0.0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[Project1.xlsx]Calculations!PivotTable3</c:name>
    <c:fmtId val="11"/>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Calculations!$J$2</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Calculations!$I$3:$I$9</c:f>
              <c:strCache>
                <c:ptCount val="6"/>
                <c:pt idx="0">
                  <c:v>T-Shirt</c:v>
                </c:pt>
                <c:pt idx="1">
                  <c:v>Sneakers</c:v>
                </c:pt>
                <c:pt idx="2">
                  <c:v>Sandals</c:v>
                </c:pt>
                <c:pt idx="3">
                  <c:v>Jeans</c:v>
                </c:pt>
                <c:pt idx="4">
                  <c:v>Jacket</c:v>
                </c:pt>
                <c:pt idx="5">
                  <c:v>Hoodie</c:v>
                </c:pt>
              </c:strCache>
            </c:strRef>
          </c:cat>
          <c:val>
            <c:numRef>
              <c:f>Calculations!$J$3:$J$9</c:f>
              <c:numCache>
                <c:formatCode>_("$"* #,##0.00_);_("$"* \(#,##0.00\);_("$"* "-"??_);_(@_)</c:formatCode>
                <c:ptCount val="6"/>
                <c:pt idx="0">
                  <c:v>15600</c:v>
                </c:pt>
                <c:pt idx="1">
                  <c:v>20000</c:v>
                </c:pt>
                <c:pt idx="2">
                  <c:v>18000</c:v>
                </c:pt>
                <c:pt idx="3">
                  <c:v>20000</c:v>
                </c:pt>
                <c:pt idx="4">
                  <c:v>11000</c:v>
                </c:pt>
                <c:pt idx="5">
                  <c:v>12000</c:v>
                </c:pt>
              </c:numCache>
            </c:numRef>
          </c:val>
          <c:extLst>
            <c:ext xmlns:c16="http://schemas.microsoft.com/office/drawing/2014/chart" uri="{C3380CC4-5D6E-409C-BE32-E72D297353CC}">
              <c16:uniqueId val="{00000000-F554-4EC5-B9C7-972C3E777127}"/>
            </c:ext>
          </c:extLst>
        </c:ser>
        <c:dLbls>
          <c:dLblPos val="outEnd"/>
          <c:showLegendKey val="0"/>
          <c:showVal val="1"/>
          <c:showCatName val="0"/>
          <c:showSerName val="0"/>
          <c:showPercent val="0"/>
          <c:showBubbleSize val="0"/>
        </c:dLbls>
        <c:gapWidth val="444"/>
        <c:overlap val="-90"/>
        <c:axId val="1100420128"/>
        <c:axId val="1100420608"/>
      </c:barChart>
      <c:catAx>
        <c:axId val="1100420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100420608"/>
        <c:crosses val="autoZero"/>
        <c:auto val="1"/>
        <c:lblAlgn val="ctr"/>
        <c:lblOffset val="100"/>
        <c:noMultiLvlLbl val="0"/>
      </c:catAx>
      <c:valAx>
        <c:axId val="1100420608"/>
        <c:scaling>
          <c:orientation val="minMax"/>
        </c:scaling>
        <c:delete val="1"/>
        <c:axPos val="l"/>
        <c:numFmt formatCode="_(&quot;$&quot;* #,##0.00_);_(&quot;$&quot;* \(#,##0.00\);_(&quot;$&quot;* &quot;-&quot;??_);_(@_)" sourceLinked="1"/>
        <c:majorTickMark val="none"/>
        <c:minorTickMark val="none"/>
        <c:tickLblPos val="nextTo"/>
        <c:crossAx val="110042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[Project1.xlsx]Calculations!PivotTable4</c:name>
    <c:fmtId val="11"/>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hade val="76000"/>
            </a:schemeClr>
          </a:solidFill>
          <a:ln>
            <a:noFill/>
          </a:ln>
          <a:effectLst>
            <a:outerShdw blurRad="254000" sx="102000" sy="102000" algn="ctr" rotWithShape="0">
              <a:prstClr val="black">
                <a:alpha val="20000"/>
              </a:prstClr>
            </a:outerShdw>
          </a:effectLst>
        </c:spPr>
      </c:pivotFmt>
      <c:pivotFmt>
        <c:idx val="3"/>
        <c:spPr>
          <a:solidFill>
            <a:schemeClr val="accent1">
              <a:tint val="77000"/>
            </a:schemeClr>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hade val="76000"/>
            </a:schemeClr>
          </a:solidFill>
          <a:ln>
            <a:noFill/>
          </a:ln>
          <a:effectLst>
            <a:outerShdw blurRad="254000" sx="102000" sy="102000" algn="ctr" rotWithShape="0">
              <a:prstClr val="black">
                <a:alpha val="20000"/>
              </a:prstClr>
            </a:outerShdw>
          </a:effectLst>
        </c:spPr>
      </c:pivotFmt>
      <c:pivotFmt>
        <c:idx val="6"/>
        <c:spPr>
          <a:solidFill>
            <a:schemeClr val="accent1">
              <a:tint val="77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8.2256852125492691E-2"/>
          <c:y val="7.1697354741500435E-2"/>
          <c:w val="0.68449681073177315"/>
          <c:h val="0.77271621722679451"/>
        </c:manualLayout>
      </c:layout>
      <c:doughnutChart>
        <c:varyColors val="1"/>
        <c:ser>
          <c:idx val="0"/>
          <c:order val="0"/>
          <c:tx>
            <c:strRef>
              <c:f>Calculations!$M$2</c:f>
              <c:strCache>
                <c:ptCount val="1"/>
                <c:pt idx="0">
                  <c:v>Total</c:v>
                </c:pt>
              </c:strCache>
            </c:strRef>
          </c:tx>
          <c:dPt>
            <c:idx val="0"/>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FE1-4619-8D98-27A57BF38C5B}"/>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FE1-4619-8D98-27A57BF38C5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Calculations!$L$3:$L$5</c:f>
              <c:strCache>
                <c:ptCount val="2"/>
                <c:pt idx="0">
                  <c:v>Clothing</c:v>
                </c:pt>
                <c:pt idx="1">
                  <c:v>Footwear</c:v>
                </c:pt>
              </c:strCache>
            </c:strRef>
          </c:cat>
          <c:val>
            <c:numRef>
              <c:f>Calculations!$M$3:$M$5</c:f>
              <c:numCache>
                <c:formatCode>_("$"* #,##0.00_);_("$"* \(#,##0.00\);_("$"* "-"??_);_(@_)</c:formatCode>
                <c:ptCount val="2"/>
                <c:pt idx="0">
                  <c:v>58600</c:v>
                </c:pt>
                <c:pt idx="1">
                  <c:v>38000</c:v>
                </c:pt>
              </c:numCache>
            </c:numRef>
          </c:val>
          <c:extLst>
            <c:ext xmlns:c16="http://schemas.microsoft.com/office/drawing/2014/chart" uri="{C3380CC4-5D6E-409C-BE32-E72D297353CC}">
              <c16:uniqueId val="{00000004-1FE1-4619-8D98-27A57BF38C5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[Project1.xlsx]Calculations!PivotTable5</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Calculations!$D$2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Calculations!$C$3:$C$6</c:f>
              <c:strCache>
                <c:ptCount val="3"/>
                <c:pt idx="0">
                  <c:v>Ahmed</c:v>
                </c:pt>
                <c:pt idx="1">
                  <c:v>Ali</c:v>
                </c:pt>
                <c:pt idx="2">
                  <c:v>Sara</c:v>
                </c:pt>
              </c:strCache>
            </c:strRef>
          </c:cat>
          <c:val>
            <c:numRef>
              <c:f>Calculations!$D$3:$D$6</c:f>
              <c:numCache>
                <c:formatCode>General</c:formatCode>
                <c:ptCount val="3"/>
                <c:pt idx="0">
                  <c:v>30800</c:v>
                </c:pt>
                <c:pt idx="1">
                  <c:v>32200</c:v>
                </c:pt>
                <c:pt idx="2">
                  <c:v>33600</c:v>
                </c:pt>
              </c:numCache>
            </c:numRef>
          </c:val>
          <c:extLst>
            <c:ext xmlns:c16="http://schemas.microsoft.com/office/drawing/2014/chart" uri="{C3380CC4-5D6E-409C-BE32-E72D297353CC}">
              <c16:uniqueId val="{00000000-FBED-4153-9C49-73B6A45FC619}"/>
            </c:ext>
          </c:extLst>
        </c:ser>
        <c:dLbls>
          <c:dLblPos val="outEnd"/>
          <c:showLegendKey val="0"/>
          <c:showVal val="1"/>
          <c:showCatName val="0"/>
          <c:showSerName val="0"/>
          <c:showPercent val="0"/>
          <c:showBubbleSize val="0"/>
        </c:dLbls>
        <c:gapWidth val="182"/>
        <c:axId val="1187656528"/>
        <c:axId val="1187672848"/>
      </c:barChart>
      <c:catAx>
        <c:axId val="1187656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672848"/>
        <c:crosses val="autoZero"/>
        <c:auto val="1"/>
        <c:lblAlgn val="ctr"/>
        <c:lblOffset val="100"/>
        <c:noMultiLvlLbl val="0"/>
      </c:catAx>
      <c:valAx>
        <c:axId val="1187672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65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[Project1.xlsx]Calculations!PivotTable1</c:name>
    <c:fmtId val="8"/>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Calculations!$G$2</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trendline>
            <c:spPr>
              <a:ln w="28575" cap="rnd">
                <a:solidFill>
                  <a:schemeClr val="lt1">
                    <a:alpha val="50000"/>
                  </a:schemeClr>
                </a:solidFill>
                <a:round/>
              </a:ln>
              <a:effectLst/>
            </c:spPr>
            <c:trendlineType val="linear"/>
            <c:dispRSqr val="0"/>
            <c:dispEq val="0"/>
          </c:trendline>
          <c:cat>
            <c:strRef>
              <c:f>Calculations!$F$3:$F$12</c:f>
              <c:strCache>
                <c:ptCount val="9"/>
                <c:pt idx="0">
                  <c:v>1-Jan-25</c:v>
                </c:pt>
                <c:pt idx="1">
                  <c:v>2-Jan-25</c:v>
                </c:pt>
                <c:pt idx="2">
                  <c:v>3-Jan-25</c:v>
                </c:pt>
                <c:pt idx="3">
                  <c:v>4-Jan-25</c:v>
                </c:pt>
                <c:pt idx="4">
                  <c:v>5-Jan-25</c:v>
                </c:pt>
                <c:pt idx="5">
                  <c:v>6-Jan-25</c:v>
                </c:pt>
                <c:pt idx="6">
                  <c:v>7-Jan-25</c:v>
                </c:pt>
                <c:pt idx="7">
                  <c:v>8-Jan-25</c:v>
                </c:pt>
                <c:pt idx="8">
                  <c:v>9-Jan-25</c:v>
                </c:pt>
              </c:strCache>
            </c:strRef>
          </c:cat>
          <c:val>
            <c:numRef>
              <c:f>Calculations!$G$3:$G$12</c:f>
              <c:numCache>
                <c:formatCode>_("$"* #,##0.00_);_("$"* \(#,##0.00\);_("$"* "-"??_);_(@_)</c:formatCode>
                <c:ptCount val="9"/>
                <c:pt idx="0">
                  <c:v>13500</c:v>
                </c:pt>
                <c:pt idx="1">
                  <c:v>8000</c:v>
                </c:pt>
                <c:pt idx="2">
                  <c:v>12000</c:v>
                </c:pt>
                <c:pt idx="3">
                  <c:v>10800</c:v>
                </c:pt>
                <c:pt idx="4">
                  <c:v>9600</c:v>
                </c:pt>
                <c:pt idx="5">
                  <c:v>11000</c:v>
                </c:pt>
                <c:pt idx="6">
                  <c:v>12000</c:v>
                </c:pt>
                <c:pt idx="7">
                  <c:v>12500</c:v>
                </c:pt>
                <c:pt idx="8">
                  <c:v>7200</c:v>
                </c:pt>
              </c:numCache>
            </c:numRef>
          </c:val>
          <c:smooth val="0"/>
          <c:extLst>
            <c:ext xmlns:c16="http://schemas.microsoft.com/office/drawing/2014/chart" uri="{C3380CC4-5D6E-409C-BE32-E72D297353CC}">
              <c16:uniqueId val="{00000001-2056-4115-99B7-B6B1F1866F93}"/>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187660368"/>
        <c:axId val="1187655568"/>
      </c:lineChart>
      <c:catAx>
        <c:axId val="118766036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87655568"/>
        <c:crosses val="autoZero"/>
        <c:auto val="1"/>
        <c:lblAlgn val="ctr"/>
        <c:lblOffset val="100"/>
        <c:noMultiLvlLbl val="0"/>
      </c:catAx>
      <c:valAx>
        <c:axId val="118765556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lt1"/>
                </a:solidFill>
                <a:latin typeface="+mn-lt"/>
                <a:ea typeface="+mn-ea"/>
                <a:cs typeface="+mn-cs"/>
              </a:defRPr>
            </a:pPr>
            <a:endParaRPr lang="en-US"/>
          </a:p>
        </c:txPr>
        <c:crossAx val="1187660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174238</xdr:colOff>
      <xdr:row>0</xdr:row>
      <xdr:rowOff>139390</xdr:rowOff>
    </xdr:from>
    <xdr:to>
      <xdr:col>23</xdr:col>
      <xdr:colOff>592409</xdr:colOff>
      <xdr:row>4</xdr:row>
      <xdr:rowOff>34847</xdr:rowOff>
    </xdr:to>
    <xdr:sp macro="" textlink="">
      <xdr:nvSpPr>
        <xdr:cNvPr id="2" name="Rectangle: Rounded Corners 1">
          <a:extLst>
            <a:ext uri="{FF2B5EF4-FFF2-40B4-BE49-F238E27FC236}">
              <a16:creationId xmlns:a16="http://schemas.microsoft.com/office/drawing/2014/main" id="{A51268C4-C361-9C31-26C5-2FD563D308DD}"/>
            </a:ext>
          </a:extLst>
        </xdr:cNvPr>
        <xdr:cNvSpPr/>
      </xdr:nvSpPr>
      <xdr:spPr>
        <a:xfrm>
          <a:off x="174238" y="139390"/>
          <a:ext cx="14310732" cy="638872"/>
        </a:xfrm>
        <a:prstGeom prst="roundRect">
          <a:avLst/>
        </a:prstGeom>
        <a:ln>
          <a:no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800" b="1">
              <a:solidFill>
                <a:schemeClr val="accent1"/>
              </a:solidFill>
            </a:rPr>
            <a:t>SALES PERFORMANCE DASHBOARD</a:t>
          </a:r>
        </a:p>
        <a:p>
          <a:pPr algn="l"/>
          <a:endParaRPr lang="en-US" sz="1100"/>
        </a:p>
      </xdr:txBody>
    </xdr:sp>
    <xdr:clientData/>
  </xdr:twoCellAnchor>
  <xdr:twoCellAnchor>
    <xdr:from>
      <xdr:col>0</xdr:col>
      <xdr:colOff>127774</xdr:colOff>
      <xdr:row>4</xdr:row>
      <xdr:rowOff>162621</xdr:rowOff>
    </xdr:from>
    <xdr:to>
      <xdr:col>4</xdr:col>
      <xdr:colOff>278779</xdr:colOff>
      <xdr:row>9</xdr:row>
      <xdr:rowOff>147753</xdr:rowOff>
    </xdr:to>
    <xdr:sp macro="" textlink="">
      <xdr:nvSpPr>
        <xdr:cNvPr id="5" name="Rectangle: Rounded Corners 4">
          <a:extLst>
            <a:ext uri="{FF2B5EF4-FFF2-40B4-BE49-F238E27FC236}">
              <a16:creationId xmlns:a16="http://schemas.microsoft.com/office/drawing/2014/main" id="{B0B81A89-D7FD-0D8C-4147-6340D6265A18}"/>
            </a:ext>
          </a:extLst>
        </xdr:cNvPr>
        <xdr:cNvSpPr/>
      </xdr:nvSpPr>
      <xdr:spPr>
        <a:xfrm>
          <a:off x="127774" y="906036"/>
          <a:ext cx="2567103" cy="91440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400" b="1">
              <a:solidFill>
                <a:schemeClr val="accent1"/>
              </a:solidFill>
            </a:rPr>
            <a:t>Total Revenue :</a:t>
          </a:r>
        </a:p>
      </xdr:txBody>
    </xdr:sp>
    <xdr:clientData/>
  </xdr:twoCellAnchor>
  <xdr:twoCellAnchor>
    <xdr:from>
      <xdr:col>4</xdr:col>
      <xdr:colOff>522713</xdr:colOff>
      <xdr:row>4</xdr:row>
      <xdr:rowOff>162622</xdr:rowOff>
    </xdr:from>
    <xdr:to>
      <xdr:col>9</xdr:col>
      <xdr:colOff>69694</xdr:colOff>
      <xdr:row>9</xdr:row>
      <xdr:rowOff>147754</xdr:rowOff>
    </xdr:to>
    <xdr:sp macro="" textlink="">
      <xdr:nvSpPr>
        <xdr:cNvPr id="7" name="Rectangle: Rounded Corners 6" descr="A">
          <a:extLst>
            <a:ext uri="{FF2B5EF4-FFF2-40B4-BE49-F238E27FC236}">
              <a16:creationId xmlns:a16="http://schemas.microsoft.com/office/drawing/2014/main" id="{1D42E0A4-7C9C-455F-B843-B2C1B48EB6A3}"/>
            </a:ext>
          </a:extLst>
        </xdr:cNvPr>
        <xdr:cNvSpPr/>
      </xdr:nvSpPr>
      <xdr:spPr>
        <a:xfrm>
          <a:off x="2938811" y="906037"/>
          <a:ext cx="2567103" cy="91440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400" b="1">
              <a:solidFill>
                <a:schemeClr val="accent1"/>
              </a:solidFill>
            </a:rPr>
            <a:t>Total</a:t>
          </a:r>
          <a:r>
            <a:rPr lang="en-US" sz="1400"/>
            <a:t> </a:t>
          </a:r>
          <a:r>
            <a:rPr lang="en-US" sz="1400" b="1">
              <a:solidFill>
                <a:schemeClr val="accent1"/>
              </a:solidFill>
            </a:rPr>
            <a:t>Orders :   </a:t>
          </a:r>
        </a:p>
      </xdr:txBody>
    </xdr:sp>
    <xdr:clientData/>
  </xdr:twoCellAnchor>
  <xdr:twoCellAnchor>
    <xdr:from>
      <xdr:col>9</xdr:col>
      <xdr:colOff>371706</xdr:colOff>
      <xdr:row>5</xdr:row>
      <xdr:rowOff>0</xdr:rowOff>
    </xdr:from>
    <xdr:to>
      <xdr:col>13</xdr:col>
      <xdr:colOff>522712</xdr:colOff>
      <xdr:row>9</xdr:row>
      <xdr:rowOff>170985</xdr:rowOff>
    </xdr:to>
    <xdr:sp macro="" textlink="">
      <xdr:nvSpPr>
        <xdr:cNvPr id="9" name="Rectangle: Rounded Corners 8" descr="A">
          <a:extLst>
            <a:ext uri="{FF2B5EF4-FFF2-40B4-BE49-F238E27FC236}">
              <a16:creationId xmlns:a16="http://schemas.microsoft.com/office/drawing/2014/main" id="{44793C56-F446-4433-9CD9-FC9ECC562B6A}"/>
            </a:ext>
          </a:extLst>
        </xdr:cNvPr>
        <xdr:cNvSpPr/>
      </xdr:nvSpPr>
      <xdr:spPr>
        <a:xfrm>
          <a:off x="5807926" y="929268"/>
          <a:ext cx="2567103" cy="91440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400" b="1">
              <a:solidFill>
                <a:schemeClr val="accent1"/>
              </a:solidFill>
            </a:rPr>
            <a:t>Unit</a:t>
          </a:r>
          <a:r>
            <a:rPr lang="en-US" sz="1400" b="1" baseline="0">
              <a:solidFill>
                <a:schemeClr val="accent1"/>
              </a:solidFill>
            </a:rPr>
            <a:t> Sold</a:t>
          </a:r>
          <a:r>
            <a:rPr lang="en-US" sz="1400" b="1">
              <a:solidFill>
                <a:schemeClr val="accent1"/>
              </a:solidFill>
            </a:rPr>
            <a:t> :</a:t>
          </a:r>
        </a:p>
      </xdr:txBody>
    </xdr:sp>
    <xdr:clientData/>
  </xdr:twoCellAnchor>
  <xdr:twoCellAnchor>
    <xdr:from>
      <xdr:col>14</xdr:col>
      <xdr:colOff>127775</xdr:colOff>
      <xdr:row>5</xdr:row>
      <xdr:rowOff>11615</xdr:rowOff>
    </xdr:from>
    <xdr:to>
      <xdr:col>18</xdr:col>
      <xdr:colOff>278780</xdr:colOff>
      <xdr:row>9</xdr:row>
      <xdr:rowOff>182600</xdr:rowOff>
    </xdr:to>
    <xdr:sp macro="" textlink="">
      <xdr:nvSpPr>
        <xdr:cNvPr id="11" name="Rectangle: Rounded Corners 10" descr="A">
          <a:extLst>
            <a:ext uri="{FF2B5EF4-FFF2-40B4-BE49-F238E27FC236}">
              <a16:creationId xmlns:a16="http://schemas.microsoft.com/office/drawing/2014/main" id="{63913747-18C1-49DE-AAF6-CCC004A61FFA}"/>
            </a:ext>
          </a:extLst>
        </xdr:cNvPr>
        <xdr:cNvSpPr/>
      </xdr:nvSpPr>
      <xdr:spPr>
        <a:xfrm>
          <a:off x="8584116" y="940883"/>
          <a:ext cx="2567103" cy="91440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400" b="1">
              <a:solidFill>
                <a:schemeClr val="accent1"/>
              </a:solidFill>
            </a:rPr>
            <a:t>Unit</a:t>
          </a:r>
          <a:r>
            <a:rPr lang="en-US" sz="1400" b="1" baseline="0">
              <a:solidFill>
                <a:schemeClr val="accent1"/>
              </a:solidFill>
            </a:rPr>
            <a:t> Sold</a:t>
          </a:r>
          <a:r>
            <a:rPr lang="en-US" sz="1400" b="1">
              <a:solidFill>
                <a:schemeClr val="accent1"/>
              </a:solidFill>
            </a:rPr>
            <a:t> :</a:t>
          </a:r>
        </a:p>
      </xdr:txBody>
    </xdr:sp>
    <xdr:clientData/>
  </xdr:twoCellAnchor>
  <xdr:oneCellAnchor>
    <xdr:from>
      <xdr:col>0</xdr:col>
      <xdr:colOff>127774</xdr:colOff>
      <xdr:row>6</xdr:row>
      <xdr:rowOff>139391</xdr:rowOff>
    </xdr:from>
    <xdr:ext cx="2555488" cy="530658"/>
    <xdr:sp macro="" textlink="Summary!C1">
      <xdr:nvSpPr>
        <xdr:cNvPr id="14" name="TextBox 13">
          <a:extLst>
            <a:ext uri="{FF2B5EF4-FFF2-40B4-BE49-F238E27FC236}">
              <a16:creationId xmlns:a16="http://schemas.microsoft.com/office/drawing/2014/main" id="{9E1F8362-FE60-CBD9-978F-D074D55F3999}"/>
            </a:ext>
          </a:extLst>
        </xdr:cNvPr>
        <xdr:cNvSpPr txBox="1"/>
      </xdr:nvSpPr>
      <xdr:spPr>
        <a:xfrm>
          <a:off x="127774" y="1254513"/>
          <a:ext cx="255548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800" b="1" i="0" u="none" strike="noStrike">
              <a:solidFill>
                <a:schemeClr val="tx1"/>
              </a:solidFill>
              <a:latin typeface="Calibri"/>
              <a:cs typeface="Calibri"/>
            </a:rPr>
            <a:t>$ </a:t>
          </a:r>
          <a:fld id="{F30B244E-E0C2-44BA-A9D9-5F4DAA73D83F}" type="TxLink">
            <a:rPr lang="en-US" sz="2800" b="1" i="0" u="none" strike="noStrike">
              <a:solidFill>
                <a:schemeClr val="tx1"/>
              </a:solidFill>
              <a:latin typeface="Calibri"/>
              <a:cs typeface="Calibri"/>
            </a:rPr>
            <a:pPr algn="ctr"/>
            <a:t>96600</a:t>
          </a:fld>
          <a:endParaRPr lang="en-US" sz="2800">
            <a:solidFill>
              <a:schemeClr val="tx1"/>
            </a:solidFill>
          </a:endParaRPr>
        </a:p>
      </xdr:txBody>
    </xdr:sp>
    <xdr:clientData/>
  </xdr:oneCellAnchor>
  <xdr:oneCellAnchor>
    <xdr:from>
      <xdr:col>9</xdr:col>
      <xdr:colOff>348475</xdr:colOff>
      <xdr:row>7</xdr:row>
      <xdr:rowOff>0</xdr:rowOff>
    </xdr:from>
    <xdr:ext cx="2474177" cy="530658"/>
    <xdr:sp macro="" textlink="Summary!C2">
      <xdr:nvSpPr>
        <xdr:cNvPr id="15" name="TextBox 14">
          <a:extLst>
            <a:ext uri="{FF2B5EF4-FFF2-40B4-BE49-F238E27FC236}">
              <a16:creationId xmlns:a16="http://schemas.microsoft.com/office/drawing/2014/main" id="{A009B113-3CA1-71F9-4DB7-2E4CDFDE0F26}"/>
            </a:ext>
          </a:extLst>
        </xdr:cNvPr>
        <xdr:cNvSpPr txBox="1"/>
      </xdr:nvSpPr>
      <xdr:spPr>
        <a:xfrm>
          <a:off x="5784695" y="1300976"/>
          <a:ext cx="2474177"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380EC378-F42E-4B6A-87C4-43440DC8B3F4}" type="TxLink">
            <a:rPr lang="en-US" sz="2800" b="1" i="0" u="none" strike="noStrike">
              <a:solidFill>
                <a:srgbClr val="000000"/>
              </a:solidFill>
              <a:latin typeface="Calibri"/>
              <a:cs typeface="Calibri"/>
            </a:rPr>
            <a:pPr algn="ctr"/>
            <a:t>42</a:t>
          </a:fld>
          <a:endParaRPr lang="en-US" sz="2800"/>
        </a:p>
      </xdr:txBody>
    </xdr:sp>
    <xdr:clientData/>
  </xdr:oneCellAnchor>
  <xdr:oneCellAnchor>
    <xdr:from>
      <xdr:col>4</xdr:col>
      <xdr:colOff>511097</xdr:colOff>
      <xdr:row>6</xdr:row>
      <xdr:rowOff>174237</xdr:rowOff>
    </xdr:from>
    <xdr:ext cx="2601952" cy="530658"/>
    <xdr:sp macro="" textlink="Summary!C3">
      <xdr:nvSpPr>
        <xdr:cNvPr id="16" name="TextBox 15">
          <a:extLst>
            <a:ext uri="{FF2B5EF4-FFF2-40B4-BE49-F238E27FC236}">
              <a16:creationId xmlns:a16="http://schemas.microsoft.com/office/drawing/2014/main" id="{7C3082B4-6FC7-65A1-B07F-CA93F8D44DA4}"/>
            </a:ext>
          </a:extLst>
        </xdr:cNvPr>
        <xdr:cNvSpPr txBox="1"/>
      </xdr:nvSpPr>
      <xdr:spPr>
        <a:xfrm>
          <a:off x="2927195" y="1289359"/>
          <a:ext cx="260195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C0F46798-318D-44F3-ABF9-623F33ACCA0D}" type="TxLink">
            <a:rPr lang="en-US" sz="2800" b="1" i="0" u="none" strike="noStrike">
              <a:solidFill>
                <a:srgbClr val="000000"/>
              </a:solidFill>
              <a:latin typeface="Calibri"/>
              <a:cs typeface="Calibri"/>
            </a:rPr>
            <a:pPr algn="ctr"/>
            <a:t>11</a:t>
          </a:fld>
          <a:endParaRPr lang="en-US" sz="2800"/>
        </a:p>
      </xdr:txBody>
    </xdr:sp>
    <xdr:clientData/>
  </xdr:oneCellAnchor>
  <xdr:oneCellAnchor>
    <xdr:from>
      <xdr:col>14</xdr:col>
      <xdr:colOff>267165</xdr:colOff>
      <xdr:row>6</xdr:row>
      <xdr:rowOff>151005</xdr:rowOff>
    </xdr:from>
    <xdr:ext cx="2363468" cy="530658"/>
    <xdr:sp macro="" textlink="Summary!C4">
      <xdr:nvSpPr>
        <xdr:cNvPr id="17" name="TextBox 16">
          <a:extLst>
            <a:ext uri="{FF2B5EF4-FFF2-40B4-BE49-F238E27FC236}">
              <a16:creationId xmlns:a16="http://schemas.microsoft.com/office/drawing/2014/main" id="{51ADF78D-EFF3-8E6B-359E-F1BA7D5B4BB6}"/>
            </a:ext>
          </a:extLst>
        </xdr:cNvPr>
        <xdr:cNvSpPr txBox="1"/>
      </xdr:nvSpPr>
      <xdr:spPr>
        <a:xfrm>
          <a:off x="8723506" y="1266127"/>
          <a:ext cx="236346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i="0" u="none" strike="noStrike">
              <a:solidFill>
                <a:srgbClr val="000000"/>
              </a:solidFill>
              <a:latin typeface="Calibri"/>
              <a:cs typeface="Calibri"/>
            </a:rPr>
            <a:t>$</a:t>
          </a:r>
          <a:r>
            <a:rPr lang="en-US" sz="2800" b="1" i="0" u="none" strike="noStrike" baseline="0">
              <a:solidFill>
                <a:srgbClr val="000000"/>
              </a:solidFill>
              <a:latin typeface="Calibri"/>
              <a:cs typeface="Calibri"/>
            </a:rPr>
            <a:t> </a:t>
          </a:r>
          <a:fld id="{A69FD7D0-42D4-4660-8F5D-75BD33765261}" type="TxLink">
            <a:rPr lang="en-US" sz="2800" b="1" i="0" u="none" strike="noStrike">
              <a:solidFill>
                <a:srgbClr val="000000"/>
              </a:solidFill>
              <a:latin typeface="Calibri"/>
              <a:cs typeface="Calibri"/>
            </a:rPr>
            <a:t>8781.818182</a:t>
          </a:fld>
          <a:endParaRPr lang="en-US" sz="2800"/>
        </a:p>
      </xdr:txBody>
    </xdr:sp>
    <xdr:clientData/>
  </xdr:oneCellAnchor>
  <xdr:twoCellAnchor>
    <xdr:from>
      <xdr:col>0</xdr:col>
      <xdr:colOff>215250</xdr:colOff>
      <xdr:row>52</xdr:row>
      <xdr:rowOff>22370</xdr:rowOff>
    </xdr:from>
    <xdr:to>
      <xdr:col>9</xdr:col>
      <xdr:colOff>538369</xdr:colOff>
      <xdr:row>75</xdr:row>
      <xdr:rowOff>161759</xdr:rowOff>
    </xdr:to>
    <xdr:graphicFrame macro="">
      <xdr:nvGraphicFramePr>
        <xdr:cNvPr id="18" name="Chart 17">
          <a:extLst>
            <a:ext uri="{FF2B5EF4-FFF2-40B4-BE49-F238E27FC236}">
              <a16:creationId xmlns:a16="http://schemas.microsoft.com/office/drawing/2014/main" id="{303B7A04-BBC4-4267-8D90-FB7B2C402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308537</xdr:colOff>
      <xdr:row>52</xdr:row>
      <xdr:rowOff>47308</xdr:rowOff>
    </xdr:from>
    <xdr:to>
      <xdr:col>18</xdr:col>
      <xdr:colOff>289891</xdr:colOff>
      <xdr:row>75</xdr:row>
      <xdr:rowOff>144946</xdr:rowOff>
    </xdr:to>
    <xdr:graphicFrame macro="">
      <xdr:nvGraphicFramePr>
        <xdr:cNvPr id="19" name="Chart 18">
          <a:extLst>
            <a:ext uri="{FF2B5EF4-FFF2-40B4-BE49-F238E27FC236}">
              <a16:creationId xmlns:a16="http://schemas.microsoft.com/office/drawing/2014/main" id="{94CBC279-D386-4060-8029-DBBDDB7E9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153997</xdr:colOff>
      <xdr:row>10</xdr:row>
      <xdr:rowOff>146453</xdr:rowOff>
    </xdr:from>
    <xdr:to>
      <xdr:col>18</xdr:col>
      <xdr:colOff>288154</xdr:colOff>
      <xdr:row>33</xdr:row>
      <xdr:rowOff>119622</xdr:rowOff>
    </xdr:to>
    <xdr:graphicFrame macro="">
      <xdr:nvGraphicFramePr>
        <xdr:cNvPr id="22" name="Chart 21">
          <a:extLst>
            <a:ext uri="{FF2B5EF4-FFF2-40B4-BE49-F238E27FC236}">
              <a16:creationId xmlns:a16="http://schemas.microsoft.com/office/drawing/2014/main" id="{BF7EE146-3B45-4B40-ABA0-DC878E393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153988</xdr:colOff>
      <xdr:row>34</xdr:row>
      <xdr:rowOff>147638</xdr:rowOff>
    </xdr:from>
    <xdr:to>
      <xdr:col>18</xdr:col>
      <xdr:colOff>350345</xdr:colOff>
      <xdr:row>51</xdr:row>
      <xdr:rowOff>53975</xdr:rowOff>
    </xdr:to>
    <xdr:graphicFrame macro="">
      <xdr:nvGraphicFramePr>
        <xdr:cNvPr id="23" name="Chart 22">
          <a:extLst>
            <a:ext uri="{FF2B5EF4-FFF2-40B4-BE49-F238E27FC236}">
              <a16:creationId xmlns:a16="http://schemas.microsoft.com/office/drawing/2014/main" id="{FEE5CB19-0E32-49E2-8A9B-E4C91E5A4A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593449</xdr:colOff>
      <xdr:row>5</xdr:row>
      <xdr:rowOff>20708</xdr:rowOff>
    </xdr:from>
    <xdr:to>
      <xdr:col>23</xdr:col>
      <xdr:colOff>538369</xdr:colOff>
      <xdr:row>11</xdr:row>
      <xdr:rowOff>165653</xdr:rowOff>
    </xdr:to>
    <mc:AlternateContent xmlns:mc="http://schemas.openxmlformats.org/markup-compatibility/2006">
      <mc:Choice xmlns:a14="http://schemas.microsoft.com/office/drawing/2010/main" Requires="a14">
        <xdr:graphicFrame macro="">
          <xdr:nvGraphicFramePr>
            <xdr:cNvPr id="24" name="Salesperson">
              <a:extLst>
                <a:ext uri="{FF2B5EF4-FFF2-40B4-BE49-F238E27FC236}">
                  <a16:creationId xmlns:a16="http://schemas.microsoft.com/office/drawing/2014/main" id="{8AE9DB14-CB0B-9B8E-2325-6519E9DDADA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1503904" y="994856"/>
              <a:ext cx="2975601" cy="13139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594400</xdr:colOff>
      <xdr:row>12</xdr:row>
      <xdr:rowOff>122840</xdr:rowOff>
    </xdr:from>
    <xdr:to>
      <xdr:col>23</xdr:col>
      <xdr:colOff>580258</xdr:colOff>
      <xdr:row>26</xdr:row>
      <xdr:rowOff>38181</xdr:rowOff>
    </xdr:to>
    <mc:AlternateContent xmlns:mc="http://schemas.openxmlformats.org/markup-compatibility/2006">
      <mc:Choice xmlns:a14="http://schemas.microsoft.com/office/drawing/2010/main" Requires="a14">
        <xdr:graphicFrame macro="">
          <xdr:nvGraphicFramePr>
            <xdr:cNvPr id="26" name="Product">
              <a:extLst>
                <a:ext uri="{FF2B5EF4-FFF2-40B4-BE49-F238E27FC236}">
                  <a16:creationId xmlns:a16="http://schemas.microsoft.com/office/drawing/2014/main" id="{94CDC86A-3DCC-4242-6AF0-F5E6F7DB7F7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1504855" y="2460795"/>
              <a:ext cx="3016539" cy="26429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CS" refreshedDate="46037.645380439812" createdVersion="8" refreshedVersion="8" minRefreshableVersion="3" recordCount="10" xr:uid="{F92E49AC-F31F-4AF8-85D2-D3FED254D0AC}">
  <cacheSource type="worksheet">
    <worksheetSource name="Table2"/>
  </cacheSource>
  <cacheFields count="8">
    <cacheField name="Date" numFmtId="15">
      <sharedItems containsSemiMixedTypes="0" containsNonDate="0" containsDate="1" containsString="0" minDate="2025-01-01T00:00:00" maxDate="2025-01-10T00:00:00" count="9">
        <d v="2025-01-01T00:00:00"/>
        <d v="2025-01-02T00:00:00"/>
        <d v="2025-01-03T00:00:00"/>
        <d v="2025-01-04T00:00:00"/>
        <d v="2025-01-05T00:00:00"/>
        <d v="2025-01-06T00:00:00"/>
        <d v="2025-01-07T00:00:00"/>
        <d v="2025-01-08T00:00:00"/>
        <d v="2025-01-09T00:00:00"/>
      </sharedItems>
    </cacheField>
    <cacheField name="Invoice ID" numFmtId="0">
      <sharedItems/>
    </cacheField>
    <cacheField name="Product" numFmtId="0">
      <sharedItems count="6">
        <s v="T-Shirt"/>
        <s v="Jeans"/>
        <s v="Sneakers"/>
        <s v="Hoodie"/>
        <s v="Sandals"/>
        <s v="Jacket"/>
      </sharedItems>
    </cacheField>
    <cacheField name="Category" numFmtId="0">
      <sharedItems count="2">
        <s v="Clothing"/>
        <s v="Footwear"/>
      </sharedItems>
    </cacheField>
    <cacheField name="Quantity" numFmtId="0">
      <sharedItems containsSemiMixedTypes="0" containsString="0" containsNumber="1" containsInteger="1" minValue="2" maxValue="8"/>
    </cacheField>
    <cacheField name="Unit Price" numFmtId="0">
      <sharedItems containsSemiMixedTypes="0" containsString="0" containsNumber="1" containsInteger="1" minValue="1200" maxValue="5500"/>
    </cacheField>
    <cacheField name="Salesperson" numFmtId="0">
      <sharedItems count="3">
        <s v="Ali"/>
        <s v="Ahmed"/>
        <s v="Sara"/>
      </sharedItems>
    </cacheField>
    <cacheField name="Total Sales" numFmtId="0">
      <sharedItems containsSemiMixedTypes="0" containsString="0" containsNumber="1" containsInteger="1" minValue="6000" maxValue="12500"/>
    </cacheField>
  </cacheFields>
  <extLst>
    <ext xmlns:x14="http://schemas.microsoft.com/office/spreadsheetml/2009/9/main" uri="{725AE2AE-9491-48be-B2B4-4EB974FC3084}">
      <x14:pivotCacheDefinition pivotCacheId="15878817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s v="INV-001"/>
    <x v="0"/>
    <x v="0"/>
    <n v="5"/>
    <n v="1200"/>
    <x v="0"/>
    <n v="6000"/>
  </r>
  <r>
    <x v="0"/>
    <s v="INV-002"/>
    <x v="1"/>
    <x v="0"/>
    <n v="3"/>
    <n v="2500"/>
    <x v="1"/>
    <n v="7500"/>
  </r>
  <r>
    <x v="1"/>
    <s v="INV-003"/>
    <x v="2"/>
    <x v="1"/>
    <n v="2"/>
    <n v="4000"/>
    <x v="0"/>
    <n v="8000"/>
  </r>
  <r>
    <x v="2"/>
    <s v="INV-004"/>
    <x v="3"/>
    <x v="0"/>
    <n v="4"/>
    <n v="3000"/>
    <x v="2"/>
    <n v="12000"/>
  </r>
  <r>
    <x v="3"/>
    <s v="INV-005"/>
    <x v="4"/>
    <x v="1"/>
    <n v="6"/>
    <n v="1800"/>
    <x v="1"/>
    <n v="10800"/>
  </r>
  <r>
    <x v="4"/>
    <s v="INV-006"/>
    <x v="0"/>
    <x v="0"/>
    <n v="8"/>
    <n v="1200"/>
    <x v="2"/>
    <n v="9600"/>
  </r>
  <r>
    <x v="5"/>
    <s v="INV-007"/>
    <x v="5"/>
    <x v="0"/>
    <n v="2"/>
    <n v="5500"/>
    <x v="0"/>
    <n v="11000"/>
  </r>
  <r>
    <x v="6"/>
    <s v="INV-008"/>
    <x v="2"/>
    <x v="1"/>
    <n v="3"/>
    <n v="4000"/>
    <x v="2"/>
    <n v="12000"/>
  </r>
  <r>
    <x v="7"/>
    <s v="INV-009"/>
    <x v="1"/>
    <x v="0"/>
    <n v="5"/>
    <n v="2500"/>
    <x v="1"/>
    <n v="12500"/>
  </r>
  <r>
    <x v="8"/>
    <s v="INV-010"/>
    <x v="4"/>
    <x v="1"/>
    <n v="4"/>
    <n v="1800"/>
    <x v="0"/>
    <n v="7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431241-5AE7-49D4-843A-54DE488046F0}"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L2:M5" firstHeaderRow="1" firstDataRow="1" firstDataCol="1"/>
  <pivotFields count="8">
    <pivotField numFmtId="15" showAll="0"/>
    <pivotField showAll="0"/>
    <pivotField showAll="0"/>
    <pivotField axis="axisRow" showAll="0">
      <items count="3">
        <item x="0"/>
        <item x="1"/>
        <item t="default"/>
      </items>
    </pivotField>
    <pivotField showAll="0"/>
    <pivotField showAll="0"/>
    <pivotField showAll="0">
      <items count="4">
        <item x="1"/>
        <item x="0"/>
        <item x="2"/>
        <item t="default"/>
      </items>
    </pivotField>
    <pivotField dataField="1" showAll="0"/>
  </pivotFields>
  <rowFields count="1">
    <field x="3"/>
  </rowFields>
  <rowItems count="3">
    <i>
      <x/>
    </i>
    <i>
      <x v="1"/>
    </i>
    <i t="grand">
      <x/>
    </i>
  </rowItems>
  <colItems count="1">
    <i/>
  </colItems>
  <dataFields count="1">
    <dataField name="Sum of Total Sales" fld="7" baseField="0" baseItem="0" numFmtId="44"/>
  </dataFields>
  <formats count="3">
    <format dxfId="130">
      <pivotArea grandRow="1" outline="0" collapsedLevelsAreSubtotals="1" fieldPosition="0"/>
    </format>
    <format dxfId="129">
      <pivotArea outline="0" collapsedLevelsAreSubtotals="1" fieldPosition="0"/>
    </format>
    <format dxfId="128">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3" count="1" selected="0">
            <x v="0"/>
          </reference>
        </references>
      </pivotArea>
    </chartFormat>
    <chartFormat chart="11"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B707F8-49A4-42CC-B22F-235530D12E75}"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I2:J9" firstHeaderRow="1" firstDataRow="1" firstDataCol="1"/>
  <pivotFields count="8">
    <pivotField numFmtId="15" showAll="0"/>
    <pivotField showAll="0"/>
    <pivotField axis="axisRow" showAll="0" sortType="descending">
      <items count="7">
        <item x="0"/>
        <item x="2"/>
        <item x="4"/>
        <item x="1"/>
        <item x="5"/>
        <item x="3"/>
        <item t="default"/>
      </items>
    </pivotField>
    <pivotField showAll="0">
      <items count="3">
        <item x="0"/>
        <item h="1" x="1"/>
        <item t="default"/>
      </items>
    </pivotField>
    <pivotField showAll="0"/>
    <pivotField showAll="0"/>
    <pivotField showAll="0">
      <items count="4">
        <item x="1"/>
        <item x="0"/>
        <item x="2"/>
        <item t="default"/>
      </items>
    </pivotField>
    <pivotField dataField="1" showAll="0"/>
  </pivotFields>
  <rowFields count="1">
    <field x="2"/>
  </rowFields>
  <rowItems count="7">
    <i>
      <x/>
    </i>
    <i>
      <x v="1"/>
    </i>
    <i>
      <x v="2"/>
    </i>
    <i>
      <x v="3"/>
    </i>
    <i>
      <x v="4"/>
    </i>
    <i>
      <x v="5"/>
    </i>
    <i t="grand">
      <x/>
    </i>
  </rowItems>
  <colItems count="1">
    <i/>
  </colItems>
  <dataFields count="1">
    <dataField name="Sum of Total Sales" fld="7" baseField="0" baseItem="0" numFmtId="44"/>
  </dataFields>
  <formats count="2">
    <format dxfId="132">
      <pivotArea outline="0" collapsedLevelsAreSubtotals="1" fieldPosition="0"/>
    </format>
    <format dxfId="131">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2" count="6">
              <x v="0"/>
              <x v="1"/>
              <x v="2"/>
              <x v="3"/>
              <x v="4"/>
              <x v="5"/>
            </reference>
          </references>
        </pivotArea>
      </pivotAreas>
    </conditionalFormat>
  </conditionalFormat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4E3408-895C-4E19-8433-5E7951283F41}"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2:G12" firstHeaderRow="1" firstDataRow="1" firstDataCol="1"/>
  <pivotFields count="8">
    <pivotField axis="axisRow" numFmtId="15" showAll="0">
      <items count="10">
        <item x="0"/>
        <item x="1"/>
        <item x="2"/>
        <item x="3"/>
        <item x="4"/>
        <item x="5"/>
        <item x="6"/>
        <item x="7"/>
        <item x="8"/>
        <item t="default"/>
      </items>
    </pivotField>
    <pivotField showAll="0"/>
    <pivotField showAll="0"/>
    <pivotField showAll="0"/>
    <pivotField showAll="0"/>
    <pivotField showAll="0"/>
    <pivotField showAll="0">
      <items count="4">
        <item x="1"/>
        <item x="0"/>
        <item x="2"/>
        <item t="default"/>
      </items>
    </pivotField>
    <pivotField dataField="1" showAll="0"/>
  </pivotFields>
  <rowFields count="1">
    <field x="0"/>
  </rowFields>
  <rowItems count="10">
    <i>
      <x/>
    </i>
    <i>
      <x v="1"/>
    </i>
    <i>
      <x v="2"/>
    </i>
    <i>
      <x v="3"/>
    </i>
    <i>
      <x v="4"/>
    </i>
    <i>
      <x v="5"/>
    </i>
    <i>
      <x v="6"/>
    </i>
    <i>
      <x v="7"/>
    </i>
    <i>
      <x v="8"/>
    </i>
    <i t="grand">
      <x/>
    </i>
  </rowItems>
  <colItems count="1">
    <i/>
  </colItems>
  <dataFields count="1">
    <dataField name="Sum of Total Sales" fld="7" baseField="0" baseItem="0" numFmtId="44"/>
  </dataFields>
  <formats count="4">
    <format dxfId="136">
      <pivotArea collapsedLevelsAreSubtotals="1" fieldPosition="0">
        <references count="1">
          <reference field="0" count="0"/>
        </references>
      </pivotArea>
    </format>
    <format dxfId="135">
      <pivotArea grandRow="1" outline="0" collapsedLevelsAreSubtotals="1" fieldPosition="0"/>
    </format>
    <format dxfId="134">
      <pivotArea outline="0" collapsedLevelsAreSubtotals="1" fieldPosition="0"/>
    </format>
    <format dxfId="133">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D19744-F6D5-4439-B15D-F6C9608441DB}"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C2:D6" firstHeaderRow="1" firstDataRow="1" firstDataCol="1"/>
  <pivotFields count="8">
    <pivotField numFmtId="15" showAll="0"/>
    <pivotField showAll="0"/>
    <pivotField showAll="0"/>
    <pivotField showAll="0"/>
    <pivotField showAll="0"/>
    <pivotField showAll="0"/>
    <pivotField axis="axisRow" showAll="0">
      <items count="4">
        <item x="1"/>
        <item x="0"/>
        <item x="2"/>
        <item t="default"/>
      </items>
    </pivotField>
    <pivotField dataField="1" showAll="0"/>
  </pivotFields>
  <rowFields count="1">
    <field x="6"/>
  </rowFields>
  <rowItems count="4">
    <i>
      <x/>
    </i>
    <i>
      <x v="1"/>
    </i>
    <i>
      <x v="2"/>
    </i>
    <i t="grand">
      <x/>
    </i>
  </rowItems>
  <colItems count="1">
    <i/>
  </colItems>
  <dataFields count="1">
    <dataField name="Sum of Total Sales" fld="7" baseField="0" baseItem="0"/>
  </dataFields>
  <formats count="1">
    <format dxfId="137">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BBFD4EB6-E2BC-4154-839B-CBE5EFBDF4AE}" sourceName="Salesperson">
  <pivotTables>
    <pivotTable tabId="2" name="PivotTable5"/>
    <pivotTable tabId="2" name="PivotTable1"/>
    <pivotTable tabId="2" name="PivotTable3"/>
    <pivotTable tabId="2" name="PivotTable4"/>
  </pivotTables>
  <data>
    <tabular pivotCacheId="1587881720">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07EB218-A052-469E-B1C5-3D705A338153}" sourceName="Product">
  <pivotTables>
    <pivotTable tabId="2" name="PivotTable3"/>
  </pivotTables>
  <data>
    <tabular pivotCacheId="1587881720">
      <items count="6">
        <i x="3" s="1"/>
        <i x="5" s="1"/>
        <i x="1" s="1"/>
        <i x="4"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45AAC0F8-47CC-461E-96F0-1A8D09C8C7AD}" cache="Slicer_Salesperson" caption="Salesperson" rowHeight="241300"/>
  <slicer name="Product" xr10:uid="{7A3109BE-4432-4332-83B3-9FF24FEF54C9}"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BA63BA-76EE-440F-B288-B1734D1ED4C6}" name="Table2" displayName="Table2" ref="D1:K11" totalsRowShown="0" headerRowDxfId="127" dataDxfId="125" headerRowBorderDxfId="126" tableBorderDxfId="124" totalsRowBorderDxfId="123">
  <autoFilter ref="D1:K11" xr:uid="{4DBA63BA-76EE-440F-B288-B1734D1ED4C6}"/>
  <tableColumns count="8">
    <tableColumn id="1" xr3:uid="{0546E05F-FDE9-41FA-8944-7BF4BFA756BC}" name="Date" dataDxfId="122"/>
    <tableColumn id="2" xr3:uid="{41C8DCBA-027E-4587-B300-925AD901376A}" name="Invoice ID" dataDxfId="121"/>
    <tableColumn id="3" xr3:uid="{A8CF1FD3-0C92-4849-B438-8286478B7792}" name="Product" dataDxfId="120"/>
    <tableColumn id="4" xr3:uid="{E8C02BB9-DDEC-4B82-AF40-6A02E39293E3}" name="Category" dataDxfId="119"/>
    <tableColumn id="5" xr3:uid="{A14B3777-C12B-4C02-AA8D-4FC1330605BC}" name="Quantity" dataDxfId="118"/>
    <tableColumn id="6" xr3:uid="{22BFCC9A-2A9E-4705-A63B-D0B247F5E489}" name="Unit Price" dataDxfId="117"/>
    <tableColumn id="7" xr3:uid="{997C07F3-35F0-422D-BAF9-C090D5ABD264}" name="Salesperson" dataDxfId="116"/>
    <tableColumn id="8" xr3:uid="{2369D623-2F31-403D-8AA4-A4128611E85F}" name="Total Sales" dataDxfId="115">
      <calculatedColumnFormula>I2*H2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BD6DF-D2E8-4842-A55E-09A5E3845222}">
  <dimension ref="C1:M12"/>
  <sheetViews>
    <sheetView topLeftCell="B1" workbookViewId="0">
      <selection activeCell="D19" sqref="D19"/>
    </sheetView>
  </sheetViews>
  <sheetFormatPr defaultRowHeight="14.25" customHeight="1" x14ac:dyDescent="0.25"/>
  <cols>
    <col min="1" max="3" width="13.140625" bestFit="1" customWidth="1"/>
    <col min="4" max="4" width="17.28515625" bestFit="1" customWidth="1"/>
    <col min="6" max="6" width="13.140625" bestFit="1" customWidth="1"/>
    <col min="7" max="7" width="18.7109375" bestFit="1" customWidth="1"/>
    <col min="9" max="9" width="13.140625" bestFit="1" customWidth="1"/>
    <col min="10" max="10" width="18.7109375" bestFit="1" customWidth="1"/>
    <col min="11" max="11" width="8.85546875" customWidth="1"/>
    <col min="12" max="12" width="13.140625" bestFit="1" customWidth="1"/>
    <col min="13" max="13" width="18.7109375" style="15" bestFit="1" customWidth="1"/>
  </cols>
  <sheetData>
    <row r="1" spans="3:13" ht="14.25" customHeight="1" x14ac:dyDescent="0.25">
      <c r="C1" s="21" t="s">
        <v>39</v>
      </c>
      <c r="D1" s="21"/>
      <c r="F1" s="21" t="s">
        <v>37</v>
      </c>
      <c r="G1" s="21"/>
      <c r="I1" s="21" t="s">
        <v>36</v>
      </c>
      <c r="J1" s="21"/>
      <c r="L1" s="21" t="s">
        <v>38</v>
      </c>
      <c r="M1" s="21"/>
    </row>
    <row r="2" spans="3:13" ht="14.25" customHeight="1" x14ac:dyDescent="0.25">
      <c r="C2" s="11" t="s">
        <v>29</v>
      </c>
      <c r="D2" t="s">
        <v>31</v>
      </c>
      <c r="F2" s="11" t="s">
        <v>29</v>
      </c>
      <c r="G2" s="14" t="s">
        <v>31</v>
      </c>
      <c r="I2" s="11" t="s">
        <v>29</v>
      </c>
      <c r="J2" s="14" t="s">
        <v>31</v>
      </c>
      <c r="L2" s="11" t="s">
        <v>29</v>
      </c>
      <c r="M2" s="14" t="s">
        <v>31</v>
      </c>
    </row>
    <row r="3" spans="3:13" ht="14.25" customHeight="1" x14ac:dyDescent="0.25">
      <c r="C3" s="13" t="s">
        <v>10</v>
      </c>
      <c r="D3" s="23">
        <v>30800</v>
      </c>
      <c r="F3" s="12">
        <v>45658</v>
      </c>
      <c r="G3" s="14">
        <v>13500</v>
      </c>
      <c r="I3" s="13" t="s">
        <v>6</v>
      </c>
      <c r="J3" s="14">
        <v>15600</v>
      </c>
      <c r="L3" s="13" t="s">
        <v>7</v>
      </c>
      <c r="M3" s="14">
        <v>58600</v>
      </c>
    </row>
    <row r="4" spans="3:13" ht="14.25" customHeight="1" x14ac:dyDescent="0.25">
      <c r="C4" s="13" t="s">
        <v>8</v>
      </c>
      <c r="D4" s="23">
        <v>32200</v>
      </c>
      <c r="F4" s="12">
        <v>45659</v>
      </c>
      <c r="G4" s="14">
        <v>8000</v>
      </c>
      <c r="I4" s="13" t="s">
        <v>11</v>
      </c>
      <c r="J4" s="14">
        <v>20000</v>
      </c>
      <c r="L4" s="13" t="s">
        <v>12</v>
      </c>
      <c r="M4" s="14">
        <v>38000</v>
      </c>
    </row>
    <row r="5" spans="3:13" ht="14.25" customHeight="1" x14ac:dyDescent="0.25">
      <c r="C5" s="13" t="s">
        <v>14</v>
      </c>
      <c r="D5" s="23">
        <v>33600</v>
      </c>
      <c r="F5" s="12">
        <v>45660</v>
      </c>
      <c r="G5" s="14">
        <v>12000</v>
      </c>
      <c r="I5" s="13" t="s">
        <v>15</v>
      </c>
      <c r="J5" s="14">
        <v>18000</v>
      </c>
      <c r="L5" s="13" t="s">
        <v>30</v>
      </c>
      <c r="M5" s="14">
        <v>96600</v>
      </c>
    </row>
    <row r="6" spans="3:13" ht="14.25" customHeight="1" x14ac:dyDescent="0.25">
      <c r="C6" s="13" t="s">
        <v>30</v>
      </c>
      <c r="D6" s="1">
        <v>96600</v>
      </c>
      <c r="F6" s="12">
        <v>45661</v>
      </c>
      <c r="G6" s="14">
        <v>10800</v>
      </c>
      <c r="I6" s="13" t="s">
        <v>9</v>
      </c>
      <c r="J6" s="14">
        <v>20000</v>
      </c>
    </row>
    <row r="7" spans="3:13" ht="14.25" customHeight="1" x14ac:dyDescent="0.25">
      <c r="F7" s="12">
        <v>45662</v>
      </c>
      <c r="G7" s="14">
        <v>9600</v>
      </c>
      <c r="I7" s="13" t="s">
        <v>24</v>
      </c>
      <c r="J7" s="14">
        <v>11000</v>
      </c>
    </row>
    <row r="8" spans="3:13" ht="14.25" customHeight="1" x14ac:dyDescent="0.25">
      <c r="F8" s="12">
        <v>45663</v>
      </c>
      <c r="G8" s="14">
        <v>11000</v>
      </c>
      <c r="I8" s="13" t="s">
        <v>13</v>
      </c>
      <c r="J8" s="14">
        <v>12000</v>
      </c>
    </row>
    <row r="9" spans="3:13" ht="14.25" customHeight="1" x14ac:dyDescent="0.25">
      <c r="F9" s="12">
        <v>45664</v>
      </c>
      <c r="G9" s="14">
        <v>12000</v>
      </c>
      <c r="I9" s="13" t="s">
        <v>30</v>
      </c>
      <c r="J9" s="14">
        <v>96600</v>
      </c>
    </row>
    <row r="10" spans="3:13" ht="14.25" customHeight="1" x14ac:dyDescent="0.25">
      <c r="F10" s="12">
        <v>45665</v>
      </c>
      <c r="G10" s="14">
        <v>12500</v>
      </c>
    </row>
    <row r="11" spans="3:13" ht="14.25" customHeight="1" x14ac:dyDescent="0.25">
      <c r="F11" s="12">
        <v>45666</v>
      </c>
      <c r="G11" s="14">
        <v>7200</v>
      </c>
    </row>
    <row r="12" spans="3:13" ht="14.25" customHeight="1" x14ac:dyDescent="0.25">
      <c r="F12" s="12" t="s">
        <v>30</v>
      </c>
      <c r="G12" s="14">
        <v>96600</v>
      </c>
    </row>
  </sheetData>
  <mergeCells count="4">
    <mergeCell ref="I1:J1"/>
    <mergeCell ref="F1:G1"/>
    <mergeCell ref="L1:M1"/>
    <mergeCell ref="C1:D1"/>
  </mergeCells>
  <conditionalFormatting pivot="1" sqref="J3:J8">
    <cfRule type="cellIs" dxfId="0" priority="1" operator="greaterThan">
      <formula>15500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1CD81-8D94-4515-A2DB-0B1E0477D62F}">
  <dimension ref="A1"/>
  <sheetViews>
    <sheetView showGridLines="0" showRowColHeaders="0" tabSelected="1" zoomScale="44" zoomScaleNormal="44" workbookViewId="0">
      <selection activeCell="X40" sqref="X40"/>
    </sheetView>
  </sheetViews>
  <sheetFormatPr defaultRowHeight="15" x14ac:dyDescent="0.25"/>
  <cols>
    <col min="1" max="16384" width="9.140625" style="22"/>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B0C03-C2F5-40E3-A4FE-0E21F87BDFDD}">
  <dimension ref="B1:C4"/>
  <sheetViews>
    <sheetView workbookViewId="0">
      <selection sqref="A1:XFD1"/>
    </sheetView>
  </sheetViews>
  <sheetFormatPr defaultRowHeight="15" x14ac:dyDescent="0.25"/>
  <cols>
    <col min="2" max="2" width="20.140625" customWidth="1"/>
  </cols>
  <sheetData>
    <row r="1" spans="2:3" x14ac:dyDescent="0.25">
      <c r="B1" s="17" t="s">
        <v>32</v>
      </c>
      <c r="C1" s="16">
        <f>SUM(Sales_Data!K:K)</f>
        <v>96600</v>
      </c>
    </row>
    <row r="2" spans="2:3" x14ac:dyDescent="0.25">
      <c r="B2" s="18" t="s">
        <v>33</v>
      </c>
      <c r="C2" s="16">
        <f>SUM(Sales_Data!H:H)</f>
        <v>42</v>
      </c>
    </row>
    <row r="3" spans="2:3" x14ac:dyDescent="0.25">
      <c r="B3" s="19" t="s">
        <v>34</v>
      </c>
      <c r="C3" s="16">
        <f>COUNTA(Sales_Data!E:E)</f>
        <v>11</v>
      </c>
    </row>
    <row r="4" spans="2:3" x14ac:dyDescent="0.25">
      <c r="B4" s="20" t="s">
        <v>35</v>
      </c>
      <c r="C4" s="16">
        <f>C1 / C3</f>
        <v>8781.818181818182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BDCD0-CC0B-4A67-AB31-510BDA8D9245}">
  <dimension ref="D1:K15"/>
  <sheetViews>
    <sheetView workbookViewId="0">
      <selection activeCell="D15" sqref="D15"/>
    </sheetView>
  </sheetViews>
  <sheetFormatPr defaultRowHeight="15" x14ac:dyDescent="0.25"/>
  <cols>
    <col min="4" max="4" width="8.28515625" bestFit="1" customWidth="1"/>
    <col min="5" max="5" width="11.85546875" customWidth="1"/>
    <col min="6" max="6" width="10" customWidth="1"/>
    <col min="7" max="7" width="11" customWidth="1"/>
    <col min="8" max="8" width="10.85546875" customWidth="1"/>
    <col min="9" max="9" width="11.85546875" style="1" customWidth="1"/>
    <col min="10" max="10" width="13.85546875" customWidth="1"/>
    <col min="11" max="11" width="12.5703125" customWidth="1"/>
  </cols>
  <sheetData>
    <row r="1" spans="4:11" ht="30" x14ac:dyDescent="0.25">
      <c r="D1" s="8" t="s">
        <v>0</v>
      </c>
      <c r="E1" s="9" t="s">
        <v>16</v>
      </c>
      <c r="F1" s="9" t="s">
        <v>1</v>
      </c>
      <c r="G1" s="9" t="s">
        <v>2</v>
      </c>
      <c r="H1" s="9" t="s">
        <v>3</v>
      </c>
      <c r="I1" s="9" t="s">
        <v>4</v>
      </c>
      <c r="J1" s="9" t="s">
        <v>5</v>
      </c>
      <c r="K1" s="10" t="s">
        <v>28</v>
      </c>
    </row>
    <row r="2" spans="4:11" x14ac:dyDescent="0.25">
      <c r="D2" s="3">
        <v>45658</v>
      </c>
      <c r="E2" s="2" t="s">
        <v>17</v>
      </c>
      <c r="F2" s="2" t="s">
        <v>6</v>
      </c>
      <c r="G2" s="2" t="s">
        <v>7</v>
      </c>
      <c r="H2" s="2">
        <v>5</v>
      </c>
      <c r="I2" s="2">
        <v>1200</v>
      </c>
      <c r="J2" s="2" t="s">
        <v>8</v>
      </c>
      <c r="K2" s="7">
        <f>I2*H2</f>
        <v>6000</v>
      </c>
    </row>
    <row r="3" spans="4:11" x14ac:dyDescent="0.25">
      <c r="D3" s="3">
        <v>45658</v>
      </c>
      <c r="E3" s="2" t="s">
        <v>18</v>
      </c>
      <c r="F3" s="2" t="s">
        <v>9</v>
      </c>
      <c r="G3" s="2" t="s">
        <v>7</v>
      </c>
      <c r="H3" s="2">
        <v>3</v>
      </c>
      <c r="I3" s="2">
        <v>2500</v>
      </c>
      <c r="J3" s="2" t="s">
        <v>10</v>
      </c>
      <c r="K3" s="7">
        <f t="shared" ref="K3:K11" si="0">I3*H3</f>
        <v>7500</v>
      </c>
    </row>
    <row r="4" spans="4:11" x14ac:dyDescent="0.25">
      <c r="D4" s="3">
        <v>45659</v>
      </c>
      <c r="E4" s="2" t="s">
        <v>19</v>
      </c>
      <c r="F4" s="2" t="s">
        <v>11</v>
      </c>
      <c r="G4" s="2" t="s">
        <v>12</v>
      </c>
      <c r="H4" s="2">
        <v>2</v>
      </c>
      <c r="I4" s="2">
        <v>4000</v>
      </c>
      <c r="J4" s="2" t="s">
        <v>8</v>
      </c>
      <c r="K4" s="7">
        <f t="shared" si="0"/>
        <v>8000</v>
      </c>
    </row>
    <row r="5" spans="4:11" x14ac:dyDescent="0.25">
      <c r="D5" s="3">
        <v>45660</v>
      </c>
      <c r="E5" s="2" t="s">
        <v>20</v>
      </c>
      <c r="F5" s="2" t="s">
        <v>13</v>
      </c>
      <c r="G5" s="2" t="s">
        <v>7</v>
      </c>
      <c r="H5" s="2">
        <v>4</v>
      </c>
      <c r="I5" s="2">
        <v>3000</v>
      </c>
      <c r="J5" s="2" t="s">
        <v>14</v>
      </c>
      <c r="K5" s="7">
        <f t="shared" si="0"/>
        <v>12000</v>
      </c>
    </row>
    <row r="6" spans="4:11" x14ac:dyDescent="0.25">
      <c r="D6" s="3">
        <v>45661</v>
      </c>
      <c r="E6" s="2" t="s">
        <v>21</v>
      </c>
      <c r="F6" s="2" t="s">
        <v>15</v>
      </c>
      <c r="G6" s="2" t="s">
        <v>12</v>
      </c>
      <c r="H6" s="2">
        <v>6</v>
      </c>
      <c r="I6" s="2">
        <v>1800</v>
      </c>
      <c r="J6" s="2" t="s">
        <v>10</v>
      </c>
      <c r="K6" s="7">
        <f t="shared" si="0"/>
        <v>10800</v>
      </c>
    </row>
    <row r="7" spans="4:11" x14ac:dyDescent="0.25">
      <c r="D7" s="3">
        <v>45662</v>
      </c>
      <c r="E7" s="2" t="s">
        <v>22</v>
      </c>
      <c r="F7" s="2" t="s">
        <v>6</v>
      </c>
      <c r="G7" s="2" t="s">
        <v>7</v>
      </c>
      <c r="H7" s="2">
        <v>8</v>
      </c>
      <c r="I7" s="2">
        <v>1200</v>
      </c>
      <c r="J7" s="2" t="s">
        <v>14</v>
      </c>
      <c r="K7" s="7">
        <f t="shared" si="0"/>
        <v>9600</v>
      </c>
    </row>
    <row r="8" spans="4:11" x14ac:dyDescent="0.25">
      <c r="D8" s="3">
        <v>45663</v>
      </c>
      <c r="E8" s="2" t="s">
        <v>23</v>
      </c>
      <c r="F8" s="2" t="s">
        <v>24</v>
      </c>
      <c r="G8" s="2" t="s">
        <v>7</v>
      </c>
      <c r="H8" s="2">
        <v>2</v>
      </c>
      <c r="I8" s="2">
        <v>5500</v>
      </c>
      <c r="J8" s="2" t="s">
        <v>8</v>
      </c>
      <c r="K8" s="7">
        <f t="shared" si="0"/>
        <v>11000</v>
      </c>
    </row>
    <row r="9" spans="4:11" x14ac:dyDescent="0.25">
      <c r="D9" s="3">
        <v>45664</v>
      </c>
      <c r="E9" s="2" t="s">
        <v>25</v>
      </c>
      <c r="F9" s="2" t="s">
        <v>11</v>
      </c>
      <c r="G9" s="2" t="s">
        <v>12</v>
      </c>
      <c r="H9" s="2">
        <v>3</v>
      </c>
      <c r="I9" s="2">
        <v>4000</v>
      </c>
      <c r="J9" s="2" t="s">
        <v>14</v>
      </c>
      <c r="K9" s="7">
        <f t="shared" si="0"/>
        <v>12000</v>
      </c>
    </row>
    <row r="10" spans="4:11" x14ac:dyDescent="0.25">
      <c r="D10" s="3">
        <v>45665</v>
      </c>
      <c r="E10" s="2" t="s">
        <v>26</v>
      </c>
      <c r="F10" s="2" t="s">
        <v>9</v>
      </c>
      <c r="G10" s="2" t="s">
        <v>7</v>
      </c>
      <c r="H10" s="2">
        <v>5</v>
      </c>
      <c r="I10" s="2">
        <v>2500</v>
      </c>
      <c r="J10" s="2" t="s">
        <v>10</v>
      </c>
      <c r="K10" s="7">
        <f t="shared" si="0"/>
        <v>12500</v>
      </c>
    </row>
    <row r="11" spans="4:11" x14ac:dyDescent="0.25">
      <c r="D11" s="4">
        <v>45666</v>
      </c>
      <c r="E11" s="5" t="s">
        <v>27</v>
      </c>
      <c r="F11" s="5" t="s">
        <v>15</v>
      </c>
      <c r="G11" s="5" t="s">
        <v>12</v>
      </c>
      <c r="H11" s="5">
        <v>4</v>
      </c>
      <c r="I11" s="5">
        <v>1800</v>
      </c>
      <c r="J11" s="5" t="s">
        <v>8</v>
      </c>
      <c r="K11" s="6">
        <f t="shared" si="0"/>
        <v>7200</v>
      </c>
    </row>
    <row r="15" spans="4:11" x14ac:dyDescent="0.25">
      <c r="D15" t="s">
        <v>40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Calculations</vt:lpstr>
      <vt:lpstr>Dashboard</vt:lpstr>
      <vt:lpstr>Summary</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subhan sohail</dc:creator>
  <cp:lastModifiedBy>subhan sohail</cp:lastModifiedBy>
  <dcterms:created xsi:type="dcterms:W3CDTF">2026-01-15T06:28:13Z</dcterms:created>
  <dcterms:modified xsi:type="dcterms:W3CDTF">2026-01-15T10:45:26Z</dcterms:modified>
</cp:coreProperties>
</file>